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worksheets/sheet25.xml" ContentType="application/vnd.openxmlformats-officedocument.spreadsheetml.worksheet+xml"/>
  <Override PartName="/xl/drawings/drawing2.xml" ContentType="application/vnd.openxmlformats-officedocument.drawing+xml"/>
  <Override PartName="/xl/worksheets/sheet26.xml" ContentType="application/vnd.openxmlformats-officedocument.spreadsheetml.worksheet+xml"/>
  <Override PartName="/xl/drawings/drawing3.xml" ContentType="application/vnd.openxmlformats-officedocument.drawing+xml"/>
  <Override PartName="/xl/worksheets/sheet27.xml" ContentType="application/vnd.openxmlformats-officedocument.spreadsheetml.worksheet+xml"/>
  <Override PartName="/xl/drawings/drawing4.xml" ContentType="application/vnd.openxmlformats-officedocument.drawing+xml"/>
  <Override PartName="/xl/worksheets/sheet28.xml" ContentType="application/vnd.openxmlformats-officedocument.spreadsheetml.worksheet+xml"/>
  <Override PartName="/xl/drawings/drawing5.xml" ContentType="application/vnd.openxmlformats-officedocument.drawing+xml"/>
  <Override PartName="/xl/worksheets/sheet29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11" activeTab="15" autoFilterDateGrouping="1"/>
  </bookViews>
  <sheets>
    <sheet name="Dashboard" sheetId="1" state="visible" r:id="rId1"/>
    <sheet name="Microsoft Audit" sheetId="2" state="visible" r:id="rId2"/>
    <sheet name="Labs + Videos by Access" sheetId="3" state="visible" r:id="rId3"/>
    <sheet name="Recommended Resource Path" sheetId="4" state="visible" r:id="rId4"/>
    <sheet name="Architecture Artifacts" sheetId="5" state="visible" r:id="rId5"/>
    <sheet name="Thought Leadership" sheetId="6" state="visible" r:id="rId6"/>
    <sheet name="AB-100 Q Patterns" sheetId="7" state="visible" r:id="rId7"/>
    <sheet name="Agentic AI Arch Mistakes" sheetId="8" state="visible" r:id="rId8"/>
    <sheet name="Architecture Diagram Index" sheetId="9" state="visible" r:id="rId9"/>
    <sheet name="Top Interview Projects" sheetId="10" state="visible" r:id="rId10"/>
    <sheet name="Start Here" sheetId="11" state="visible" r:id="rId11"/>
    <sheet name="Execution Board" sheetId="12" state="visible" r:id="rId12"/>
    <sheet name="Project Tracker" sheetId="13" state="visible" r:id="rId13"/>
    <sheet name="Resource Library" sheetId="14" state="visible" r:id="rId14"/>
    <sheet name="90-Day Study Plan" sheetId="15" state="visible" r:id="rId15"/>
    <sheet name="AB-100 Domain Map" sheetId="16" state="visible" r:id="rId16"/>
    <sheet name="Business Apps Coverage" sheetId="17" state="visible" r:id="rId17"/>
    <sheet name="Business Case &amp; ROI" sheetId="18" state="visible" r:id="rId18"/>
    <sheet name="Exam Readiness" sheetId="19" state="visible" r:id="rId19"/>
    <sheet name="Repo Setup" sheetId="20" state="visible" r:id="rId20"/>
    <sheet name="Week 1 Action Plan" sheetId="21" state="visible" r:id="rId21"/>
    <sheet name="Decision Matrix" sheetId="22" state="visible" r:id="rId22"/>
    <sheet name="V5 Notes" sheetId="23" state="visible" r:id="rId23"/>
    <sheet name="Diag - RAG Assistant" sheetId="24" state="visible" r:id="rId24"/>
    <sheet name="Diag - Multi-Agent" sheetId="25" state="visible" r:id="rId25"/>
    <sheet name="Diag - API Integration" sheetId="26" state="visible" r:id="rId26"/>
    <sheet name="Diag - Secure AI" sheetId="27" state="visible" r:id="rId27"/>
    <sheet name="Diag - Capstone" sheetId="28" state="visible" r:id="rId28"/>
    <sheet name="Diag - MS Agentic AI Ref" sheetId="29" state="visible" r:id="rId2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color rgb="FF0563C1"/>
      <sz val="11"/>
      <u val="single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9" fontId="0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10477500" cy="6286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10477500" cy="6286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10477500" cy="6286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10477500" cy="6286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10477500" cy="6286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11430000" cy="6667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rn.microsoft.com/en-us/credentials/certifications/agentic-ai-business-solutions-architect/" TargetMode="External" Id="rId1" /><Relationship Type="http://schemas.openxmlformats.org/officeDocument/2006/relationships/hyperlink" Target="https://learn.microsoft.com/en-us/credentials/certifications/resources/study-guides/ab-100" TargetMode="External" Id="rId2" /><Relationship Type="http://schemas.openxmlformats.org/officeDocument/2006/relationships/hyperlink" Target="https://learn.microsoft.com/en-us/training/courses/ab-100t00" TargetMode="External" Id="rId3" /><Relationship Type="http://schemas.openxmlformats.org/officeDocument/2006/relationships/hyperlink" Target="https://learn.microsoft.com/en-us/azure/foundry/" TargetMode="External" Id="rId4" /><Relationship Type="http://schemas.openxmlformats.org/officeDocument/2006/relationships/hyperlink" Target="https://learn.microsoft.com/en-us/microsoft-copilot-studio/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learn.microsoft.com/en-us/credentials/certifications/resources/study-guides/ab-100" TargetMode="External" Id="rId1" /><Relationship Type="http://schemas.openxmlformats.org/officeDocument/2006/relationships/hyperlink" Target="https://learn.microsoft.com/en-us/training/courses/ab-100t00" TargetMode="External" Id="rId2" /><Relationship Type="http://schemas.openxmlformats.org/officeDocument/2006/relationships/hyperlink" Target="https://learn.microsoft.com/en-us/credentials/applied-skills/develop-ai-agents-using-microsoft-azure-openai-and-semantic-kernel/" TargetMode="External" Id="rId3" /><Relationship Type="http://schemas.openxmlformats.org/officeDocument/2006/relationships/hyperlink" Target="https://platform.qa.com/lab/orchestrate-agents-with-microsoft-foundry-workflows/" TargetMode="External" Id="rId4" /><Relationship Type="http://schemas.openxmlformats.org/officeDocument/2006/relationships/hyperlink" Target="https://www.linkedin.com/learning/building-agents-using-the-azure-ai-foundry-agent-service" TargetMode="External" Id="rId5" /><Relationship Type="http://schemas.openxmlformats.org/officeDocument/2006/relationships/hyperlink" Target="https://www.linkedin.com/learning/azure-ai-for-developers-building-ai-agents" TargetMode="External" Id="rId6" /><Relationship Type="http://schemas.openxmlformats.org/officeDocument/2006/relationships/hyperlink" Target="https://www.linkedin.com/learning/semantic-kernel-in-action-fundamentals" TargetMode="External" Id="rId7" /><Relationship Type="http://schemas.openxmlformats.org/officeDocument/2006/relationships/hyperlink" Target="https://www.udemy.com/course/agentic-ai-development-with-azure-semantic-kernel/" TargetMode="External" Id="rId8" /><Relationship Type="http://schemas.openxmlformats.org/officeDocument/2006/relationships/hyperlink" Target="https://www.udemy.com/course/azure-ai-agent-service-ai-foundry-semantic-kernel-sdk/" TargetMode="External" Id="rId9" /><Relationship Type="http://schemas.openxmlformats.org/officeDocument/2006/relationships/hyperlink" Target="https://www.udemy.com/course/building-smarter-ai-apps-with-semantic-kernel/" TargetMode="External" Id="rId10" /><Relationship Type="http://schemas.openxmlformats.org/officeDocument/2006/relationships/hyperlink" Target="https://learn.microsoft.com/en-us/azure/foundry/" TargetMode="External" Id="rId11" /><Relationship Type="http://schemas.openxmlformats.org/officeDocument/2006/relationships/hyperlink" Target="https://learn.microsoft.com/en-us/microsoft-copilot-studio/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learn.microsoft.com/en-us/credentials/certifications/resources/study-guides/ab-100" TargetMode="External" Id="rId1" /><Relationship Type="http://schemas.openxmlformats.org/officeDocument/2006/relationships/hyperlink" Target="https://www.linkedin.com/learning/azure-ai-for-developers-building-ai-agents" TargetMode="External" Id="rId2" /><Relationship Type="http://schemas.openxmlformats.org/officeDocument/2006/relationships/hyperlink" Target="https://learn.microsoft.com/en-us/microsoft-copilot-studio/" TargetMode="External" Id="rId3" /><Relationship Type="http://schemas.openxmlformats.org/officeDocument/2006/relationships/hyperlink" Target="https://www.linkedin.com/learning/building-agents-using-the-azure-ai-foundry-agent-service" TargetMode="External" Id="rId4" /><Relationship Type="http://schemas.openxmlformats.org/officeDocument/2006/relationships/hyperlink" Target="https://learn.microsoft.com/en-us/azure/foundry/" TargetMode="External" Id="rId5" /><Relationship Type="http://schemas.openxmlformats.org/officeDocument/2006/relationships/hyperlink" Target="https://learn.microsoft.com/en-us/credentials/applied-skills/develop-ai-agents-using-microsoft-azure-openai-and-semantic-kernel/" TargetMode="External" Id="rId6" /><Relationship Type="http://schemas.openxmlformats.org/officeDocument/2006/relationships/hyperlink" Target="https://platform.qa.com/lab/orchestrate-agents-with-microsoft-foundry-workflows/" TargetMode="External" Id="rId7" /><Relationship Type="http://schemas.openxmlformats.org/officeDocument/2006/relationships/hyperlink" Target="https://www.udemy.com/course/agentic-ai-development-with-azure-semantic-kernel/" TargetMode="External" Id="rId8" /></Relationships>
</file>

<file path=xl/worksheets/_rels/sheet14.xml.rels><Relationships xmlns="http://schemas.openxmlformats.org/package/2006/relationships"><Relationship Type="http://schemas.openxmlformats.org/officeDocument/2006/relationships/hyperlink" Target="https://learn.microsoft.com/en-us/credentials/certifications/agentic-ai-business-solutions-architect/" TargetMode="External" Id="rId1" /><Relationship Type="http://schemas.openxmlformats.org/officeDocument/2006/relationships/hyperlink" Target="https://learn.microsoft.com/en-us/credentials/certifications/resources/study-guides/ab-100" TargetMode="External" Id="rId2" /><Relationship Type="http://schemas.openxmlformats.org/officeDocument/2006/relationships/hyperlink" Target="https://learn.microsoft.com/en-us/training/courses/ab-100t00" TargetMode="External" Id="rId3" /><Relationship Type="http://schemas.openxmlformats.org/officeDocument/2006/relationships/hyperlink" Target="https://learn.microsoft.com/en-us/credentials/applied-skills/develop-ai-agents-using-microsoft-azure-openai-and-semantic-kernel/" TargetMode="External" Id="rId4" /><Relationship Type="http://schemas.openxmlformats.org/officeDocument/2006/relationships/hyperlink" Target="https://learn.microsoft.com/en-us/azure/foundry/" TargetMode="External" Id="rId5" /><Relationship Type="http://schemas.openxmlformats.org/officeDocument/2006/relationships/hyperlink" Target="https://learn.microsoft.com/en-us/microsoft-copilot-studio/" TargetMode="External" Id="rId6" /><Relationship Type="http://schemas.openxmlformats.org/officeDocument/2006/relationships/hyperlink" Target="https://learn.microsoft.com/en-us/power-platform/" TargetMode="External" Id="rId7" /><Relationship Type="http://schemas.openxmlformats.org/officeDocument/2006/relationships/hyperlink" Target="https://learn.microsoft.com/en-us/dynamics365/" TargetMode="External" Id="rId8" /><Relationship Type="http://schemas.openxmlformats.org/officeDocument/2006/relationships/hyperlink" Target="https://github.com/microsoft/semantic-kernel" TargetMode="External" Id="rId9" /><Relationship Type="http://schemas.openxmlformats.org/officeDocument/2006/relationships/hyperlink" Target="https://learn.microsoft.com/en-us/semantic-kernel/get-started/detailed-samples" TargetMode="External" Id="rId10" /><Relationship Type="http://schemas.openxmlformats.org/officeDocument/2006/relationships/hyperlink" Target="https://learn.mslevelup.com/learner_course/show/1945694" TargetMode="External" Id="rId11" /><Relationship Type="http://schemas.openxmlformats.org/officeDocument/2006/relationships/hyperlink" Target="https://modelcontextprotocol.io/docs/getting-started/intro" TargetMode="External" Id="rId12" /><Relationship Type="http://schemas.openxmlformats.org/officeDocument/2006/relationships/hyperlink" Target="https://github.com/a2aproject/A2A" TargetMode="External" Id="rId13" /></Relationships>
</file>

<file path=xl/worksheets/_rels/sheet17.xml.rels><Relationships xmlns="http://schemas.openxmlformats.org/package/2006/relationships"><Relationship Type="http://schemas.openxmlformats.org/officeDocument/2006/relationships/hyperlink" Target="https://learn.microsoft.com/en-us/microsoft-copilot-studio/" TargetMode="External" Id="rId1" /><Relationship Type="http://schemas.openxmlformats.org/officeDocument/2006/relationships/hyperlink" Target="https://learn.microsoft.com/en-us/power-platform/" TargetMode="External" Id="rId2" /><Relationship Type="http://schemas.openxmlformats.org/officeDocument/2006/relationships/hyperlink" Target="https://learn.microsoft.com/en-us/dynamics365/" TargetMode="External" Id="rId3" /><Relationship Type="http://schemas.openxmlformats.org/officeDocument/2006/relationships/hyperlink" Target="https://learn.microsoft.com/en-us/azure/foundry/" TargetMode="External" Id="rId4" /><Relationship Type="http://schemas.openxmlformats.org/officeDocument/2006/relationships/hyperlink" Target="https://modelcontextprotocol.io/" TargetMode="External" Id="rId5" /><Relationship Type="http://schemas.openxmlformats.org/officeDocument/2006/relationships/hyperlink" Target="https://github.com/google/A2A" TargetMode="External" Id="rId6" /></Relationships>
</file>

<file path=xl/worksheets/_rels/sheet21.xml.rels><Relationships xmlns="http://schemas.openxmlformats.org/package/2006/relationships"><Relationship Type="http://schemas.openxmlformats.org/officeDocument/2006/relationships/hyperlink" Target="https://learn.microsoft.com/en-us/credentials/certifications/resources/study-guides/ab-100" TargetMode="External" Id="rId1" /><Relationship Type="http://schemas.openxmlformats.org/officeDocument/2006/relationships/hyperlink" Target="https://learn.microsoft.com/en-us/azure/foundry/" TargetMode="External" Id="rId2" /><Relationship Type="http://schemas.openxmlformats.org/officeDocument/2006/relationships/hyperlink" Target="https://learn.mslevelup.com/learner_course/show/1945694" TargetMode="External" Id="rId3" /><Relationship Type="http://schemas.openxmlformats.org/officeDocument/2006/relationships/hyperlink" Target="https://learn.microsoft.com/en-us/microsoft-copilot-studio/" TargetMode="External" Id="rId4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4.25"/>
  <cols>
    <col width="22" customWidth="1" min="1" max="1"/>
    <col width="16" customWidth="1" min="2" max="2"/>
    <col width="28" customWidth="1" min="4" max="4"/>
    <col width="64" customWidth="1" min="5" max="5"/>
  </cols>
  <sheetData>
    <row r="1" ht="42" customHeight="1">
      <c r="A1" s="1" t="inlineStr">
        <is>
          <t>AB-100 Prep Dashboard</t>
        </is>
      </c>
    </row>
    <row r="2" ht="57" customHeight="1">
      <c r="A2" s="2" t="inlineStr">
        <is>
          <t>V11 audited for Microsoft-aligned truthfulness, practicality, relevance, and portfolio value.</t>
        </is>
      </c>
    </row>
    <row r="4">
      <c r="A4" s="3" t="inlineStr">
        <is>
          <t>Total Tasks</t>
        </is>
      </c>
      <c r="B4" s="4">
        <f>COUNTA('Execution Board'!A2:A200)</f>
        <v/>
      </c>
      <c r="D4" s="3" t="inlineStr">
        <is>
          <t>Critical Links</t>
        </is>
      </c>
    </row>
    <row r="5" ht="28.5" customHeight="1">
      <c r="A5" s="3" t="inlineStr">
        <is>
          <t>Completed Tasks</t>
        </is>
      </c>
      <c r="B5" s="5">
        <f>COUNTIF('Execution Board'!E2:E200,"Completed")</f>
        <v/>
      </c>
      <c r="D5" s="6" t="inlineStr">
        <is>
          <t>AB-100 certification page</t>
        </is>
      </c>
      <c r="E5" s="7" t="inlineStr">
        <is>
          <t>https://learn.microsoft.com/en-us/credentials/certifications/agentic-ai-business-solutions-architect/</t>
        </is>
      </c>
    </row>
    <row r="6" ht="28.5" customHeight="1">
      <c r="A6" s="3" t="inlineStr">
        <is>
          <t>In Progress</t>
        </is>
      </c>
      <c r="B6" s="8">
        <f>COUNTIF('Execution Board'!E2:E200,"In Progress")</f>
        <v/>
      </c>
      <c r="D6" s="6" t="inlineStr">
        <is>
          <t>AB-100 study guide</t>
        </is>
      </c>
      <c r="E6" s="7" t="inlineStr">
        <is>
          <t>https://learn.microsoft.com/en-us/credentials/certifications/resources/study-guides/ab-100</t>
        </is>
      </c>
    </row>
    <row r="7">
      <c r="A7" s="3" t="inlineStr">
        <is>
          <t>Blocked</t>
        </is>
      </c>
      <c r="B7" s="9">
        <f>COUNTIF('Execution Board'!E2:E200,"Blocked")</f>
        <v/>
      </c>
      <c r="D7" s="6" t="inlineStr">
        <is>
          <t>AB-100T00 course</t>
        </is>
      </c>
      <c r="E7" s="7" t="inlineStr">
        <is>
          <t>https://learn.microsoft.com/en-us/training/courses/ab-100t00</t>
        </is>
      </c>
    </row>
    <row r="8">
      <c r="A8" s="3" t="inlineStr">
        <is>
          <t>Task Completion %</t>
        </is>
      </c>
      <c r="B8" s="5">
        <f>IF(B4=0,0,B5/B4)</f>
        <v/>
      </c>
      <c r="D8" s="6" t="inlineStr">
        <is>
          <t>Microsoft Foundry docs</t>
        </is>
      </c>
      <c r="E8" s="7" t="inlineStr">
        <is>
          <t>https://learn.microsoft.com/en-us/azure/foundry/</t>
        </is>
      </c>
    </row>
    <row r="9">
      <c r="A9" s="3" t="inlineStr">
        <is>
          <t>Weeks Completed</t>
        </is>
      </c>
      <c r="B9" s="4">
        <f>COUNTIF('90-Day Study Plan'!H2:H50,"Completed")</f>
        <v/>
      </c>
      <c r="D9" s="6" t="inlineStr">
        <is>
          <t>Copilot Studio docs</t>
        </is>
      </c>
      <c r="E9" s="7" t="inlineStr">
        <is>
          <t>https://learn.microsoft.com/en-us/microsoft-copilot-studio/</t>
        </is>
      </c>
    </row>
    <row r="10">
      <c r="A10" s="3" t="inlineStr">
        <is>
          <t>Average Readiness</t>
        </is>
      </c>
      <c r="B10" s="8">
        <f>IFERROR(AVERAGE('90-Day Study Plan'!K2:K50),0)</f>
        <v/>
      </c>
    </row>
    <row r="11" ht="28.5" customHeight="1">
      <c r="A11" s="3" t="inlineStr">
        <is>
          <t>Study Hours</t>
        </is>
      </c>
      <c r="B11" s="4">
        <f>SUM('90-Day Study Plan'!J2:J50)</f>
        <v/>
      </c>
      <c r="D11" s="15" t="inlineStr">
        <is>
          <t>Practical readiness rule</t>
        </is>
      </c>
      <c r="E11" s="19" t="inlineStr">
        <is>
          <t>Avg readiness threshold reduced to 3.5/5 so the rule is usable during final revision.</t>
        </is>
      </c>
    </row>
    <row r="12">
      <c r="A12" s="3" t="inlineStr">
        <is>
          <t>Open Domain Gaps</t>
        </is>
      </c>
      <c r="B12" s="9">
        <f>COUNTIF('AB-100 Domain Map'!G2:G100,"Open")</f>
        <v/>
      </c>
    </row>
    <row r="13" ht="28.5" customHeight="1">
      <c r="A13" s="3" t="inlineStr">
        <is>
          <t>Exam Booking Recommendation</t>
        </is>
      </c>
      <c r="B13" s="8">
        <f>IF(AND(B8&gt;=70%,B9&gt;=8,B10&gt;=3.5,B11&gt;=70,B12&lt;=2),"Ready to book","Keep studying")</f>
        <v/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25"/>
  <cols>
    <col width="18" customWidth="1" min="1" max="1"/>
    <col width="44" customWidth="1" min="2" max="3"/>
    <col width="16" customWidth="1" min="4" max="4"/>
  </cols>
  <sheetData>
    <row r="1">
      <c r="A1" s="10" t="inlineStr">
        <is>
          <t>Dimension</t>
        </is>
      </c>
      <c r="B1" s="10" t="inlineStr">
        <is>
          <t>Audit Finding</t>
        </is>
      </c>
      <c r="C1" s="10" t="inlineStr">
        <is>
          <t>Revision Applied</t>
        </is>
      </c>
      <c r="D1" s="10" t="inlineStr">
        <is>
          <t>Panel Verdict</t>
        </is>
      </c>
    </row>
    <row r="2" ht="57" customHeight="1">
      <c r="A2" s="20" t="inlineStr">
        <is>
          <t>Truthfulness</t>
        </is>
      </c>
      <c r="B2" s="20" t="inlineStr">
        <is>
          <t>AB-100 role profile, prerequisites, MCP/A2A mention, and Microsoft Foundry naming were directionally correct, but some notes needed precision.</t>
        </is>
      </c>
      <c r="C2" s="20" t="inlineStr">
        <is>
          <t>Added explicit notes that the study guide may require sign-in, AB-100T00 is context not direct exam prep, Foundry naming is current, and MCP/A2A are open standards not Microsoft-owned.</t>
        </is>
      </c>
      <c r="D2" s="20" t="inlineStr">
        <is>
          <t>Improved</t>
        </is>
      </c>
    </row>
    <row r="3" ht="42.75" customHeight="1">
      <c r="A3" s="20" t="inlineStr">
        <is>
          <t>Practicality</t>
        </is>
      </c>
      <c r="B3" s="20" t="inlineStr">
        <is>
          <t>The workbook was strong as a tracker but slightly strict on the readiness threshold and thin on operating model/evaluation.</t>
        </is>
      </c>
      <c r="C3" s="20" t="inlineStr">
        <is>
          <t>Adjusted average readiness threshold to 3.5, added evaluation, operating model, architecture artifacts, and content backlog work.</t>
        </is>
      </c>
      <c r="D3" s="20" t="inlineStr">
        <is>
          <t>Improved</t>
        </is>
      </c>
    </row>
    <row r="4" ht="42.75" customHeight="1">
      <c r="A4" s="20" t="inlineStr">
        <is>
          <t>Relevance</t>
        </is>
      </c>
      <c r="B4" s="20" t="inlineStr">
        <is>
          <t>The workbook already covered core AB-100 plan/design/deploy themes, but business-app and operations coverage needed reinforcement.</t>
        </is>
      </c>
      <c r="C4" s="20" t="inlineStr">
        <is>
          <t>Kept Business Apps Coverage, ROI, ALM, telemetry, and added evaluation/support model emphasis in the plan.</t>
        </is>
      </c>
      <c r="D4" s="20" t="inlineStr">
        <is>
          <t>Strong</t>
        </is>
      </c>
    </row>
    <row r="5" ht="42.75" customHeight="1">
      <c r="A5" s="20" t="inlineStr">
        <is>
          <t>Value</t>
        </is>
      </c>
      <c r="B5" s="20" t="inlineStr">
        <is>
          <t>The workbook had high study and interview value, but could better convert work into portfolio proof and interview artifacts.</t>
        </is>
      </c>
      <c r="C5" s="20" t="inlineStr">
        <is>
          <t>Added Architecture Artifacts Pack and Thought Leadership Topics backlog, and flagged top interview projects.</t>
        </is>
      </c>
      <c r="D5" s="20" t="inlineStr">
        <is>
          <t>High</t>
        </is>
      </c>
    </row>
    <row r="6">
      <c r="A6" s="20" t="n"/>
      <c r="B6" s="20" t="n"/>
      <c r="C6" s="20" t="n"/>
      <c r="D6" s="20" t="n"/>
    </row>
    <row r="7" ht="28.5" customHeight="1">
      <c r="A7" s="20" t="inlineStr">
        <is>
          <t>Most Important Expert Guidance</t>
        </is>
      </c>
      <c r="B7" s="20" t="inlineStr">
        <is>
          <t>Do not optimize the workbook forever. Execute Week 1 and ship artifacts to GitHub.</t>
        </is>
      </c>
      <c r="C7" s="20" t="n"/>
      <c r="D7" s="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topLeftCell="C1" workbookViewId="0">
      <selection activeCell="A1" sqref="A1"/>
    </sheetView>
  </sheetViews>
  <sheetFormatPr baseColWidth="8" defaultRowHeight="14.25"/>
  <cols>
    <col width="12" customWidth="1" min="1" max="1"/>
    <col width="16" customWidth="1" min="2" max="2"/>
    <col width="48" customWidth="1" min="3" max="3"/>
    <col width="14" customWidth="1" min="4" max="4"/>
    <col width="42" customWidth="1" min="5" max="5"/>
    <col width="34" customWidth="1" min="6" max="6"/>
    <col width="105" bestFit="1" customWidth="1" min="7" max="7"/>
  </cols>
  <sheetData>
    <row r="1">
      <c r="A1" s="14" t="inlineStr">
        <is>
          <t>Priority</t>
        </is>
      </c>
      <c r="B1" s="14" t="inlineStr">
        <is>
          <t>Provider</t>
        </is>
      </c>
      <c r="C1" s="14" t="inlineStr">
        <is>
          <t>Resource</t>
        </is>
      </c>
      <c r="D1" s="14" t="inlineStr">
        <is>
          <t>Format</t>
        </is>
      </c>
      <c r="E1" s="14" t="inlineStr">
        <is>
          <t>Why It Is Worth Your Time</t>
        </is>
      </c>
      <c r="F1" s="14" t="inlineStr">
        <is>
          <t>Best Use</t>
        </is>
      </c>
      <c r="G1" s="14" t="inlineStr">
        <is>
          <t>Exact URL</t>
        </is>
      </c>
    </row>
    <row r="2">
      <c r="A2" t="inlineStr">
        <is>
          <t>High</t>
        </is>
      </c>
      <c r="B2" t="inlineStr">
        <is>
          <t>Microsoft Learn</t>
        </is>
      </c>
      <c r="C2" t="inlineStr">
        <is>
          <t>AB-100 study guide</t>
        </is>
      </c>
      <c r="D2" t="inlineStr">
        <is>
          <t>Study guide</t>
        </is>
      </c>
      <c r="E2" t="inlineStr">
        <is>
          <t>Best source for exact exam scope and skills measured</t>
        </is>
      </c>
      <c r="F2" t="inlineStr">
        <is>
          <t>Read first and revisit weekly</t>
        </is>
      </c>
      <c r="G2" s="22" t="inlineStr">
        <is>
          <t>https://learn.microsoft.com/en-us/credentials/certifications/resources/study-guides/ab-100</t>
        </is>
      </c>
    </row>
    <row r="3">
      <c r="A3" t="inlineStr">
        <is>
          <t>High</t>
        </is>
      </c>
      <c r="B3" t="inlineStr">
        <is>
          <t>Microsoft Learn</t>
        </is>
      </c>
      <c r="C3" t="inlineStr">
        <is>
          <t>AB-100T00: Architecting agentic AI business solutions</t>
        </is>
      </c>
      <c r="D3" t="inlineStr">
        <is>
          <t>Course</t>
        </is>
      </c>
      <c r="E3" t="inlineStr">
        <is>
          <t>Best architecture-context resource for AB-100 even though it is not pure test prep</t>
        </is>
      </c>
      <c r="F3" t="inlineStr">
        <is>
          <t>Use for architecture reasoning and business-solution design thinking</t>
        </is>
      </c>
      <c r="G3" s="22" t="inlineStr">
        <is>
          <t>https://learn.microsoft.com/en-us/training/courses/ab-100t00</t>
        </is>
      </c>
    </row>
    <row r="4">
      <c r="A4" t="inlineStr">
        <is>
          <t>High</t>
        </is>
      </c>
      <c r="B4" t="inlineStr">
        <is>
          <t>Microsoft Learn</t>
        </is>
      </c>
      <c r="C4" t="inlineStr">
        <is>
          <t>Applied Skills: Develop generative AI apps with Azure OpenAI and Semantic Kernel</t>
        </is>
      </c>
      <c r="D4" t="inlineStr">
        <is>
          <t>Hands-on lab</t>
        </is>
      </c>
      <c r="E4" t="inlineStr">
        <is>
          <t>Best official practical lab for Azure agent-building</t>
        </is>
      </c>
      <c r="F4" t="inlineStr">
        <is>
          <t>Complete by Week 4 or 5</t>
        </is>
      </c>
      <c r="G4" s="22" t="inlineStr">
        <is>
          <t>https://learn.microsoft.com/en-us/credentials/applied-skills/develop-ai-agents-using-microsoft-azure-openai-and-semantic-kernel/</t>
        </is>
      </c>
    </row>
    <row r="5">
      <c r="A5" t="inlineStr">
        <is>
          <t>High</t>
        </is>
      </c>
      <c r="B5" t="inlineStr">
        <is>
          <t>QA</t>
        </is>
      </c>
      <c r="C5" t="inlineStr">
        <is>
          <t>Orchestrate Agents with Microsoft Foundry Workflows</t>
        </is>
      </c>
      <c r="D5" t="inlineStr">
        <is>
          <t>Lab</t>
        </is>
      </c>
      <c r="E5" t="inlineStr">
        <is>
          <t>Very relevant because it is hands-on and covers multi-agent workflows plus MCP integration</t>
        </is>
      </c>
      <c r="F5" t="inlineStr">
        <is>
          <t>Use in Week 5 for orchestration practice</t>
        </is>
      </c>
      <c r="G5" s="22" t="inlineStr">
        <is>
          <t>https://platform.qa.com/lab/orchestrate-agents-with-microsoft-foundry-workflows/</t>
        </is>
      </c>
    </row>
    <row r="6">
      <c r="A6" t="inlineStr">
        <is>
          <t>Low</t>
        </is>
      </c>
      <c r="B6" t="inlineStr">
        <is>
          <t>LinkedIn Learning</t>
        </is>
      </c>
      <c r="C6" t="inlineStr">
        <is>
          <t>Building Agents Using the Azure AI Foundry Agent Service</t>
        </is>
      </c>
      <c r="D6" t="inlineStr">
        <is>
          <t>Video course</t>
        </is>
      </c>
      <c r="E6" t="inlineStr">
        <is>
          <t>Skip in favor of the Level Up course</t>
        </is>
      </c>
      <c r="F6" t="inlineStr">
        <is>
          <t>Use after Foundry basics and before capstone</t>
        </is>
      </c>
      <c r="G6" s="22" t="inlineStr">
        <is>
          <t>https://www.linkedin.com/learning/building-agents-using-the-azure-ai-foundry-agent-service</t>
        </is>
      </c>
    </row>
    <row r="7">
      <c r="A7" t="inlineStr">
        <is>
          <t>Low</t>
        </is>
      </c>
      <c r="B7" t="inlineStr">
        <is>
          <t>LinkedIn Learning</t>
        </is>
      </c>
      <c r="C7" t="inlineStr">
        <is>
          <t>Azure AI for Developers: Building AI Agents</t>
        </is>
      </c>
      <c r="D7" t="inlineStr">
        <is>
          <t>Video course</t>
        </is>
      </c>
      <c r="E7" t="inlineStr">
        <is>
          <t>Skip in favor of the Level Up course</t>
        </is>
      </c>
      <c r="F7" t="inlineStr">
        <is>
          <t>Use early for fast conceptual grounding</t>
        </is>
      </c>
      <c r="G7" s="22" t="inlineStr">
        <is>
          <t>https://www.linkedin.com/learning/azure-ai-for-developers-building-ai-agents</t>
        </is>
      </c>
    </row>
    <row r="8">
      <c r="A8" t="inlineStr">
        <is>
          <t>Low</t>
        </is>
      </c>
      <c r="B8" t="inlineStr">
        <is>
          <t>LinkedIn Learning</t>
        </is>
      </c>
      <c r="C8" t="inlineStr">
        <is>
          <t>Semantic Kernel in Action: Fundamentals</t>
        </is>
      </c>
      <c r="D8" t="inlineStr">
        <is>
          <t>Video course</t>
        </is>
      </c>
      <c r="E8" t="inlineStr">
        <is>
          <t>Skip in favor of the Level Up course</t>
        </is>
      </c>
      <c r="F8" t="inlineStr">
        <is>
          <t>Use if you feel your SK knowledge is uneven</t>
        </is>
      </c>
      <c r="G8" s="22" t="inlineStr">
        <is>
          <t>https://www.linkedin.com/learning/semantic-kernel-in-action-fundamentals</t>
        </is>
      </c>
    </row>
    <row r="9">
      <c r="A9" t="inlineStr">
        <is>
          <t>High</t>
        </is>
      </c>
      <c r="B9" t="inlineStr">
        <is>
          <t>Udemy</t>
        </is>
      </c>
      <c r="C9" t="inlineStr">
        <is>
          <t>Agentic AI Development with Azure &amp; Semantic Kernel</t>
        </is>
      </c>
      <c r="D9" t="inlineStr">
        <is>
          <t>Course</t>
        </is>
      </c>
      <c r="E9" t="inlineStr">
        <is>
          <t>Best Udemy option if you want another implementation-heavy path focused on Foundry Agent Service and Semantic Kernel</t>
        </is>
      </c>
      <c r="F9" t="inlineStr">
        <is>
          <t>Use as a secondary reinforcement path, not the main plan</t>
        </is>
      </c>
      <c r="G9" s="22" t="inlineStr">
        <is>
          <t>https://www.udemy.com/course/agentic-ai-development-with-azure-semantic-kernel/</t>
        </is>
      </c>
    </row>
    <row r="10">
      <c r="A10" t="inlineStr">
        <is>
          <t>Medium</t>
        </is>
      </c>
      <c r="B10" t="inlineStr">
        <is>
          <t>Udemy</t>
        </is>
      </c>
      <c r="C10" t="inlineStr">
        <is>
          <t>Azure AI Agent Service (AI Foundry Hub, Agent Framework)</t>
        </is>
      </c>
      <c r="D10" t="inlineStr">
        <is>
          <t>Course</t>
        </is>
      </c>
      <c r="E10" t="inlineStr">
        <is>
          <t>Useful if you want more breadth around Azure AI Agent Service implementation</t>
        </is>
      </c>
      <c r="F10" t="inlineStr">
        <is>
          <t>Use selectively for extra examples</t>
        </is>
      </c>
      <c r="G10" s="22" t="inlineStr">
        <is>
          <t>https://www.udemy.com/course/azure-ai-agent-service-ai-foundry-semantic-kernel-sdk/</t>
        </is>
      </c>
    </row>
    <row r="11">
      <c r="A11" t="inlineStr">
        <is>
          <t>Medium</t>
        </is>
      </c>
      <c r="B11" t="inlineStr">
        <is>
          <t>Udemy</t>
        </is>
      </c>
      <c r="C11" t="inlineStr">
        <is>
          <t>Develop Single Agent .NET Applications Using Semantic Kernel</t>
        </is>
      </c>
      <c r="D11" t="inlineStr">
        <is>
          <t>Course</t>
        </is>
      </c>
      <c r="E11" t="inlineStr">
        <is>
          <t>Useful if you want stronger .NET and Semantic Kernel depth</t>
        </is>
      </c>
      <c r="F11" t="inlineStr">
        <is>
          <t>Use only if you want deeper coding practice</t>
        </is>
      </c>
      <c r="G11" s="22" t="inlineStr">
        <is>
          <t>https://www.udemy.com/course/building-smarter-ai-apps-with-semantic-kernel/</t>
        </is>
      </c>
    </row>
    <row r="12">
      <c r="A12" t="inlineStr">
        <is>
          <t>High</t>
        </is>
      </c>
      <c r="B12" t="inlineStr">
        <is>
          <t>Microsoft Docs</t>
        </is>
      </c>
      <c r="C12" t="inlineStr">
        <is>
          <t>Microsoft Foundry documentation</t>
        </is>
      </c>
      <c r="D12" t="inlineStr">
        <is>
          <t>Documentation</t>
        </is>
      </c>
      <c r="E12" t="inlineStr">
        <is>
          <t>Core reference for current platform capabilities, architecture, and governance</t>
        </is>
      </c>
      <c r="F12" t="inlineStr">
        <is>
          <t>Use throughout the whole plan</t>
        </is>
      </c>
      <c r="G12" s="22" t="inlineStr">
        <is>
          <t>https://learn.microsoft.com/en-us/azure/foundry/</t>
        </is>
      </c>
    </row>
    <row r="13">
      <c r="A13" t="inlineStr">
        <is>
          <t>High</t>
        </is>
      </c>
      <c r="B13" t="inlineStr">
        <is>
          <t>Microsoft Docs</t>
        </is>
      </c>
      <c r="C13" t="inlineStr">
        <is>
          <t>Copilot Studio documentation</t>
        </is>
      </c>
      <c r="D13" t="inlineStr">
        <is>
          <t>Documentation</t>
        </is>
      </c>
      <c r="E13" t="inlineStr">
        <is>
          <t>Critical because AB-100 expects business-agent architecture, not just Azure AI service knowledge</t>
        </is>
      </c>
      <c r="F13" t="inlineStr">
        <is>
          <t>Use in Weeks 2 and 3</t>
        </is>
      </c>
      <c r="G13" s="22" t="inlineStr">
        <is>
          <t>https://learn.microsoft.com/en-us/microsoft-copilot-studio/</t>
        </is>
      </c>
    </row>
    <row r="14">
      <c r="A14" t="inlineStr">
        <is>
          <t>High</t>
        </is>
      </c>
      <c r="B14" t="inlineStr">
        <is>
          <t>Microsoft Partner</t>
        </is>
      </c>
      <c r="C14" t="inlineStr">
        <is>
          <t>Microsoft Partner Skilling Hub</t>
        </is>
      </c>
      <c r="D14" t="inlineStr">
        <is>
          <t>Partner Portal</t>
        </is>
      </c>
      <c r="E14" t="inlineStr">
        <is>
          <t>Exclusive certifications and architecture resources for Microsoft Partners</t>
        </is>
      </c>
      <c r="F14" t="inlineStr">
        <is>
          <t>Check for restricted partner-only playbooks on Agentic AI</t>
        </is>
      </c>
      <c r="G14" t="inlineStr">
        <is>
          <t>https://skilling-hub.com/en-US</t>
        </is>
      </c>
    </row>
    <row r="15">
      <c r="A15" t="inlineStr">
        <is>
          <t>High</t>
        </is>
      </c>
      <c r="B15" t="inlineStr">
        <is>
          <t>GitHub (Azure-Samples)</t>
        </is>
      </c>
      <c r="C15" t="inlineStr">
        <is>
          <t>Azure AI Gateway Labs (APIM + ML)</t>
        </is>
      </c>
      <c r="D15" t="inlineStr">
        <is>
          <t>Hands-on lab / Code</t>
        </is>
      </c>
      <c r="E15" t="inlineStr">
        <is>
          <t>Best practical guide on deploying Azure API Management in front of AI models for governance.</t>
        </is>
      </c>
      <c r="F15" t="inlineStr">
        <is>
          <t>Use during Week 6 integration studying.</t>
        </is>
      </c>
      <c r="G15" t="inlineStr">
        <is>
          <t>https://github.com/Azure-Samples/AI-Gateway/tree/main/labs/azure-ml-models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25"/>
  <cols>
    <col width="12" customWidth="1" min="1" max="1"/>
    <col width="40" customWidth="1" min="2" max="2"/>
    <col width="18" customWidth="1" min="3" max="3"/>
    <col width="42" customWidth="1" min="4" max="4"/>
    <col width="72" customWidth="1" min="5" max="5"/>
  </cols>
  <sheetData>
    <row r="1">
      <c r="A1" s="14" t="inlineStr">
        <is>
          <t>Week</t>
        </is>
      </c>
      <c r="B1" s="14" t="inlineStr">
        <is>
          <t>What To Use</t>
        </is>
      </c>
      <c r="C1" s="14" t="inlineStr">
        <is>
          <t>Provider</t>
        </is>
      </c>
      <c r="D1" s="14" t="inlineStr">
        <is>
          <t>Why This Is The Best Fit For You</t>
        </is>
      </c>
      <c r="E1" s="14" t="inlineStr">
        <is>
          <t>Exact URL</t>
        </is>
      </c>
    </row>
    <row r="2">
      <c r="A2" t="inlineStr">
        <is>
          <t>Week 1</t>
        </is>
      </c>
      <c r="B2" t="inlineStr">
        <is>
          <t>AB-100 study guide + AB-100T00 intro</t>
        </is>
      </c>
      <c r="C2" t="inlineStr">
        <is>
          <t>Microsoft Learn</t>
        </is>
      </c>
      <c r="D2" t="inlineStr">
        <is>
          <t>Best exam anchor plus architecture context</t>
        </is>
      </c>
      <c r="E2" s="22" t="inlineStr">
        <is>
          <t>https://learn.microsoft.com/en-us/credentials/certifications/resources/study-guides/ab-100</t>
        </is>
      </c>
    </row>
    <row r="3">
      <c r="A3" t="inlineStr">
        <is>
          <t>Week 1</t>
        </is>
      </c>
      <c r="B3" t="inlineStr">
        <is>
          <t>Level Up: Implement with impact (Intro &amp; Agents module)</t>
        </is>
      </c>
      <c r="C3" t="inlineStr">
        <is>
          <t>Microsoft Level Up</t>
        </is>
      </c>
      <c r="D3" t="inlineStr">
        <is>
          <t>Directly aligns with your new video access for fast, high-impact learning</t>
        </is>
      </c>
      <c r="E3" s="22" t="inlineStr">
        <is>
          <t>https://learn.mslevelup.com/learner_course/show/1945694</t>
        </is>
      </c>
    </row>
    <row r="4">
      <c r="A4" t="inlineStr">
        <is>
          <t>Week 2</t>
        </is>
      </c>
      <c r="B4" t="inlineStr">
        <is>
          <t>Copilot Studio documentation</t>
        </is>
      </c>
      <c r="C4" t="inlineStr">
        <is>
          <t>Microsoft Docs</t>
        </is>
      </c>
      <c r="D4" t="inlineStr">
        <is>
          <t>You need business-agent coverage for AB-100</t>
        </is>
      </c>
      <c r="E4" s="22" t="inlineStr">
        <is>
          <t>https://learn.microsoft.com/en-us/microsoft-copilot-studio/</t>
        </is>
      </c>
    </row>
    <row r="5">
      <c r="A5" t="inlineStr">
        <is>
          <t>Week 2</t>
        </is>
      </c>
      <c r="B5" t="inlineStr">
        <is>
          <t>Level Up: Implement with impact (Orchestration module)</t>
        </is>
      </c>
      <c r="C5" t="inlineStr">
        <is>
          <t>Microsoft Level Up</t>
        </is>
      </c>
      <c r="D5" t="inlineStr">
        <is>
          <t>Directly aligns with your new video access for fast, high-impact learning</t>
        </is>
      </c>
      <c r="E5" s="22" t="inlineStr">
        <is>
          <t>https://learn.mslevelup.com/learner_course/show/1945694</t>
        </is>
      </c>
    </row>
    <row r="6">
      <c r="A6" t="inlineStr">
        <is>
          <t>Week 3</t>
        </is>
      </c>
      <c r="B6" t="inlineStr">
        <is>
          <t>Microsoft Foundry documentation</t>
        </is>
      </c>
      <c r="C6" t="inlineStr">
        <is>
          <t>Microsoft Docs</t>
        </is>
      </c>
      <c r="D6" t="inlineStr">
        <is>
          <t>Best source for architecture and service understanding</t>
        </is>
      </c>
      <c r="E6" s="22" t="inlineStr">
        <is>
          <t>https://learn.microsoft.com/en-us/azure/foundry/</t>
        </is>
      </c>
    </row>
    <row r="7">
      <c r="A7" t="inlineStr">
        <is>
          <t>Week 4</t>
        </is>
      </c>
      <c r="B7" t="inlineStr">
        <is>
          <t>Applied Skills lab</t>
        </is>
      </c>
      <c r="C7" t="inlineStr">
        <is>
          <t>Microsoft Learn</t>
        </is>
      </c>
      <c r="D7" t="inlineStr">
        <is>
          <t>Best official hands-on lab</t>
        </is>
      </c>
      <c r="E7" s="22" t="inlineStr">
        <is>
          <t>https://learn.microsoft.com/en-us/credentials/applied-skills/develop-ai-agents-using-microsoft-azure-openai-and-semantic-kernel/</t>
        </is>
      </c>
    </row>
    <row r="8">
      <c r="A8" t="inlineStr">
        <is>
          <t>Week 5</t>
        </is>
      </c>
      <c r="B8" t="inlineStr">
        <is>
          <t>Orchestrate Agents with Microsoft Foundry Workflows</t>
        </is>
      </c>
      <c r="C8" t="inlineStr">
        <is>
          <t>QA</t>
        </is>
      </c>
      <c r="D8" t="inlineStr">
        <is>
          <t>Best lab for orchestration and MCP</t>
        </is>
      </c>
      <c r="E8" s="22" t="inlineStr">
        <is>
          <t>https://platform.qa.com/lab/orchestrate-agents-with-microsoft-foundry-workflows/</t>
        </is>
      </c>
    </row>
    <row r="9">
      <c r="A9" t="inlineStr">
        <is>
          <t>Week 6+</t>
        </is>
      </c>
      <c r="B9" t="inlineStr">
        <is>
          <t>Agentic AI Development with Azure &amp; Semantic Kernel</t>
        </is>
      </c>
      <c r="C9" t="inlineStr">
        <is>
          <t>Udemy</t>
        </is>
      </c>
      <c r="D9" t="inlineStr">
        <is>
          <t>Best optional reinforcement if you want more implementation examples</t>
        </is>
      </c>
      <c r="E9" s="22" t="inlineStr">
        <is>
          <t>https://www.udemy.com/course/agentic-ai-development-with-azure-semantic-kernel/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25"/>
  <cols>
    <col width="24" customWidth="1" min="1" max="1"/>
    <col width="36" customWidth="1" min="2" max="2"/>
    <col width="18" customWidth="1" min="3" max="3"/>
    <col width="24" customWidth="1" min="4" max="4"/>
    <col width="14" customWidth="1" min="5" max="5"/>
    <col width="30" customWidth="1" min="6" max="6"/>
  </cols>
  <sheetData>
    <row r="1">
      <c r="A1" s="10" t="inlineStr">
        <is>
          <t>Artifact</t>
        </is>
      </c>
      <c r="B1" s="10" t="inlineStr">
        <is>
          <t>Purpose</t>
        </is>
      </c>
      <c r="C1" s="10" t="inlineStr">
        <is>
          <t>When to Create</t>
        </is>
      </c>
      <c r="D1" s="10" t="inlineStr">
        <is>
          <t>Project</t>
        </is>
      </c>
      <c r="E1" s="10" t="inlineStr">
        <is>
          <t>Status</t>
        </is>
      </c>
      <c r="F1" s="10" t="inlineStr">
        <is>
          <t>Notes</t>
        </is>
      </c>
    </row>
    <row r="2">
      <c r="A2" s="20" t="inlineStr">
        <is>
          <t>Architecture diagram</t>
        </is>
      </c>
      <c r="B2" s="20" t="inlineStr">
        <is>
          <t>Explain end-to-end design</t>
        </is>
      </c>
      <c r="C2" s="20" t="inlineStr">
        <is>
          <t>Week 3 onward</t>
        </is>
      </c>
      <c r="D2" s="20" t="inlineStr">
        <is>
          <t>All top interview projects</t>
        </is>
      </c>
      <c r="E2" s="20" t="inlineStr">
        <is>
          <t>Not Started</t>
        </is>
      </c>
      <c r="F2" s="20" t="n"/>
    </row>
    <row r="3">
      <c r="A3" s="20" t="inlineStr">
        <is>
          <t>ADR pack</t>
        </is>
      </c>
      <c r="B3" s="20" t="inlineStr">
        <is>
          <t>Capture major design choices and trade-offs</t>
        </is>
      </c>
      <c r="C3" s="20" t="inlineStr">
        <is>
          <t>Week 9</t>
        </is>
      </c>
      <c r="D3" s="20" t="inlineStr">
        <is>
          <t>Capstone</t>
        </is>
      </c>
      <c r="E3" s="20" t="inlineStr">
        <is>
          <t>Not Started</t>
        </is>
      </c>
      <c r="F3" s="20" t="n"/>
    </row>
    <row r="4">
      <c r="A4" s="20" t="inlineStr">
        <is>
          <t>Threat model</t>
        </is>
      </c>
      <c r="B4" s="20" t="inlineStr">
        <is>
          <t>Show security thinking and risk treatment</t>
        </is>
      </c>
      <c r="C4" s="20" t="inlineStr">
        <is>
          <t>Week 7-9</t>
        </is>
      </c>
      <c r="D4" s="20" t="inlineStr">
        <is>
          <t>Secure AI / Capstone</t>
        </is>
      </c>
      <c r="E4" s="20" t="inlineStr">
        <is>
          <t>Not Started</t>
        </is>
      </c>
      <c r="F4" s="20" t="n"/>
    </row>
    <row r="5" ht="28.5" customHeight="1">
      <c r="A5" s="20" t="inlineStr">
        <is>
          <t>Evaluation scorecard</t>
        </is>
      </c>
      <c r="B5" s="20" t="inlineStr">
        <is>
          <t>Measure groundedness, latency, safety, and quality</t>
        </is>
      </c>
      <c r="C5" s="20" t="inlineStr">
        <is>
          <t>Week 8</t>
        </is>
      </c>
      <c r="D5" s="20" t="inlineStr">
        <is>
          <t>RAG / Multi-agent / Capstone</t>
        </is>
      </c>
      <c r="E5" s="20" t="inlineStr">
        <is>
          <t>Not Started</t>
        </is>
      </c>
      <c r="F5" s="20" t="n"/>
    </row>
    <row r="6" ht="28.5" customHeight="1">
      <c r="A6" s="20" t="inlineStr">
        <is>
          <t>Cost estimate</t>
        </is>
      </c>
      <c r="B6" s="20" t="inlineStr">
        <is>
          <t>Show operational awareness and budget discipline</t>
        </is>
      </c>
      <c r="C6" s="20" t="inlineStr">
        <is>
          <t>Week 9</t>
        </is>
      </c>
      <c r="D6" s="20" t="inlineStr">
        <is>
          <t>Capstone</t>
        </is>
      </c>
      <c r="E6" s="20" t="inlineStr">
        <is>
          <t>Not Started</t>
        </is>
      </c>
      <c r="F6" s="2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25"/>
  <cols>
    <col width="14" customWidth="1" min="1" max="1"/>
    <col width="42" customWidth="1" min="2" max="2"/>
    <col width="28" customWidth="1" min="3" max="3"/>
    <col width="10" customWidth="1" min="4" max="4"/>
    <col width="14" customWidth="1" min="5" max="5"/>
    <col width="26" customWidth="1" min="6" max="6"/>
  </cols>
  <sheetData>
    <row r="1">
      <c r="A1" s="10" t="inlineStr">
        <is>
          <t>Topic Type</t>
        </is>
      </c>
      <c r="B1" s="10" t="inlineStr">
        <is>
          <t>Draft Topic</t>
        </is>
      </c>
      <c r="C1" s="10" t="inlineStr">
        <is>
          <t>Source Project</t>
        </is>
      </c>
      <c r="D1" s="10" t="inlineStr">
        <is>
          <t>Priority</t>
        </is>
      </c>
      <c r="E1" s="10" t="inlineStr">
        <is>
          <t>Status</t>
        </is>
      </c>
      <c r="F1" s="10" t="inlineStr">
        <is>
          <t>Notes</t>
        </is>
      </c>
    </row>
    <row r="2" ht="28.5" customHeight="1">
      <c r="A2" s="20" t="inlineStr">
        <is>
          <t>Blog</t>
        </is>
      </c>
      <c r="B2" s="20" t="inlineStr">
        <is>
          <t>When to choose Copilot Studio vs custom Azure AI agents</t>
        </is>
      </c>
      <c r="C2" s="20" t="inlineStr">
        <is>
          <t>Power Platform and Dynamics Use-Case Mapping</t>
        </is>
      </c>
      <c r="D2" s="20" t="inlineStr">
        <is>
          <t>High</t>
        </is>
      </c>
      <c r="E2" s="20" t="inlineStr">
        <is>
          <t>Not Started</t>
        </is>
      </c>
      <c r="F2" s="20" t="n"/>
    </row>
    <row r="3" ht="28.5" customHeight="1">
      <c r="A3" s="20" t="inlineStr">
        <is>
          <t>Blog</t>
        </is>
      </c>
      <c r="B3" s="20" t="inlineStr">
        <is>
          <t>Why enterprise agentic AI needs an API mediation layer</t>
        </is>
      </c>
      <c r="C3" s="20" t="inlineStr">
        <is>
          <t>AI Agent with Enterprise API Integration</t>
        </is>
      </c>
      <c r="D3" s="20" t="inlineStr">
        <is>
          <t>High</t>
        </is>
      </c>
      <c r="E3" s="20" t="inlineStr">
        <is>
          <t>Not Started</t>
        </is>
      </c>
      <c r="F3" s="20" t="n"/>
    </row>
    <row r="4">
      <c r="A4" s="20" t="inlineStr">
        <is>
          <t>LinkedIn post</t>
        </is>
      </c>
      <c r="B4" s="20" t="inlineStr">
        <is>
          <t>3 mistakes in most Azure agent architectures</t>
        </is>
      </c>
      <c r="C4" s="20" t="inlineStr">
        <is>
          <t>Agentic AI Arch Mistakes</t>
        </is>
      </c>
      <c r="D4" s="20" t="inlineStr">
        <is>
          <t>High</t>
        </is>
      </c>
      <c r="E4" s="20" t="inlineStr">
        <is>
          <t>Not Started</t>
        </is>
      </c>
      <c r="F4" s="20" t="n"/>
    </row>
    <row r="5" ht="28.5" customHeight="1">
      <c r="A5" s="20" t="inlineStr">
        <is>
          <t>Diagram post</t>
        </is>
      </c>
      <c r="B5" s="20" t="inlineStr">
        <is>
          <t>Enterprise agentic AI reference architecture on Azure</t>
        </is>
      </c>
      <c r="C5" s="20" t="inlineStr">
        <is>
          <t>Diag - MS Agentic AI Ref</t>
        </is>
      </c>
      <c r="D5" s="20" t="inlineStr">
        <is>
          <t>High</t>
        </is>
      </c>
      <c r="E5" s="20" t="inlineStr">
        <is>
          <t>Not Started</t>
        </is>
      </c>
      <c r="F5" s="20" t="n"/>
    </row>
    <row r="6" ht="28.5" customHeight="1">
      <c r="A6" s="20" t="inlineStr">
        <is>
          <t>Case study</t>
        </is>
      </c>
      <c r="B6" s="20" t="inlineStr">
        <is>
          <t>Secure enterprise RAG with Azure AI Search and private access</t>
        </is>
      </c>
      <c r="C6" s="20" t="inlineStr">
        <is>
          <t>Enterprise RAG Knowledge Assistant</t>
        </is>
      </c>
      <c r="D6" s="20" t="inlineStr">
        <is>
          <t>Medium</t>
        </is>
      </c>
      <c r="E6" s="20" t="inlineStr">
        <is>
          <t>Not Started</t>
        </is>
      </c>
      <c r="F6" s="2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4.25"/>
  <cols>
    <col width="10" customWidth="1" min="1" max="1"/>
    <col width="40" customWidth="1" min="2" max="2"/>
    <col width="34" customWidth="1" min="3" max="4"/>
    <col width="36" customWidth="1" min="5" max="5"/>
    <col width="34" customWidth="1" min="6" max="6"/>
  </cols>
  <sheetData>
    <row r="1">
      <c r="A1" s="14" t="inlineStr">
        <is>
          <t>Pattern #</t>
        </is>
      </c>
      <c r="B1" s="14" t="inlineStr">
        <is>
          <t>Typical Question Pattern</t>
        </is>
      </c>
      <c r="C1" s="14" t="inlineStr">
        <is>
          <t>What Microsoft Is Really Testing</t>
        </is>
      </c>
      <c r="D1" s="14" t="inlineStr">
        <is>
          <t>How You Should Think</t>
        </is>
      </c>
      <c r="E1" s="14" t="inlineStr">
        <is>
          <t>Best Answer Direction</t>
        </is>
      </c>
      <c r="F1" s="14" t="inlineStr">
        <is>
          <t>Sheets To Review</t>
        </is>
      </c>
    </row>
    <row r="2">
      <c r="A2" t="n">
        <v>1</v>
      </c>
      <c r="B2" t="inlineStr">
        <is>
          <t>Choose between Copilot Studio, Power Platform, Dynamics, or custom Azure AI approach</t>
        </is>
      </c>
      <c r="C2" t="inlineStr">
        <is>
          <t>Solution selection and business architecture judgment</t>
        </is>
      </c>
      <c r="D2" t="inlineStr">
        <is>
          <t>Start with business process, user type, data sources, and required control level</t>
        </is>
      </c>
      <c r="E2" t="inlineStr">
        <is>
          <t>Pick the platform that best matches process ownership, governance, and extensibility requirements</t>
        </is>
      </c>
      <c r="F2" t="inlineStr">
        <is>
          <t>Business Apps Coverage, AB-100 Domain Map, Decision Matrix</t>
        </is>
      </c>
    </row>
    <row r="3">
      <c r="A3" t="n">
        <v>2</v>
      </c>
      <c r="B3" t="inlineStr">
        <is>
          <t>Design an agentic solution for a complex business workflow</t>
        </is>
      </c>
      <c r="C3" t="inlineStr">
        <is>
          <t>Agent orchestration and architecture decomposition</t>
        </is>
      </c>
      <c r="D3" t="inlineStr">
        <is>
          <t>Separate planner, worker, and validation responsibilities instead of forcing one agent to do everything</t>
        </is>
      </c>
      <c r="E3" t="inlineStr">
        <is>
          <t>Use coordinator + worker agent pattern with tool mediation and telemetry</t>
        </is>
      </c>
      <c r="F3" t="inlineStr">
        <is>
          <t>Project Tracker, Diag - Multi-Agent, Diag - Capstone</t>
        </is>
      </c>
    </row>
    <row r="4">
      <c r="A4" t="n">
        <v>3</v>
      </c>
      <c r="B4" t="inlineStr">
        <is>
          <t>Ground enterprise responses on business documents and internal knowledge</t>
        </is>
      </c>
      <c r="C4" t="inlineStr">
        <is>
          <t>RAG design and secure enterprise data access</t>
        </is>
      </c>
      <c r="D4" t="inlineStr">
        <is>
          <t>Think about indexing, retrieval, grounding, identity, and source control</t>
        </is>
      </c>
      <c r="E4" t="inlineStr">
        <is>
          <t>Use Azure AI Search + embeddings + controlled document access + secure retrieval</t>
        </is>
      </c>
      <c r="F4" t="inlineStr">
        <is>
          <t>Diag - RAG Assistant, Project Tracker, Resource Library</t>
        </is>
      </c>
    </row>
    <row r="5">
      <c r="A5" t="n">
        <v>4</v>
      </c>
      <c r="B5" t="inlineStr">
        <is>
          <t>Connect agents to enterprise systems safely</t>
        </is>
      </c>
      <c r="C5" t="inlineStr">
        <is>
          <t>Integration, governance, auditability, and security</t>
        </is>
      </c>
      <c r="D5" t="inlineStr">
        <is>
          <t>Never let the LLM directly operate critical systems</t>
        </is>
      </c>
      <c r="E5" t="inlineStr">
        <is>
          <t>Use API Management, Functions, policy enforcement, RBAC, and logging</t>
        </is>
      </c>
      <c r="F5" t="inlineStr">
        <is>
          <t>Diag - API Integration, Agentic AI Arch Mistakes</t>
        </is>
      </c>
    </row>
    <row r="6">
      <c r="A6" t="n">
        <v>5</v>
      </c>
      <c r="B6" t="inlineStr">
        <is>
          <t>Secure and govern an enterprise AI platform</t>
        </is>
      </c>
      <c r="C6" t="inlineStr">
        <is>
          <t>Production readiness and security architecture</t>
        </is>
      </c>
      <c r="D6" t="inlineStr">
        <is>
          <t>Consider network isolation, secrets, identity, monitoring, and safety</t>
        </is>
      </c>
      <c r="E6" t="inlineStr">
        <is>
          <t>Use private networking, Key Vault, managed identity, RBAC, telemetry, and safety controls</t>
        </is>
      </c>
      <c r="F6" t="inlineStr">
        <is>
          <t>Diag - Secure AI, Exam Readiness, Resource Library</t>
        </is>
      </c>
    </row>
    <row r="7">
      <c r="A7" t="n">
        <v>6</v>
      </c>
      <c r="B7" t="inlineStr">
        <is>
          <t>Plan AI transformation and justify the business value</t>
        </is>
      </c>
      <c r="C7" t="inlineStr">
        <is>
          <t>Business case framing and ROI alignment</t>
        </is>
      </c>
      <c r="D7" t="inlineStr">
        <is>
          <t>Translate architecture into measurable business outcomes</t>
        </is>
      </c>
      <c r="E7" t="inlineStr">
        <is>
          <t>Show baseline, target KPI, assumptions, ROI, adoption risk, and executive summary</t>
        </is>
      </c>
      <c r="F7" t="inlineStr">
        <is>
          <t>Business Case &amp; ROI, Start Here</t>
        </is>
      </c>
    </row>
    <row r="8">
      <c r="A8" t="n">
        <v>7</v>
      </c>
      <c r="B8" t="inlineStr">
        <is>
          <t>Decide ALM and environment strategy for agentic solutions</t>
        </is>
      </c>
      <c r="C8" t="inlineStr">
        <is>
          <t>Lifecycle management and enterprise deployment discipline</t>
        </is>
      </c>
      <c r="D8" t="inlineStr">
        <is>
          <t>Think dev/test/prod, promotion flow, rollback, and ownership</t>
        </is>
      </c>
      <c r="E8" t="inlineStr">
        <is>
          <t>Recommend environment isolation, release process, and governance model</t>
        </is>
      </c>
      <c r="F8" t="inlineStr">
        <is>
          <t>Project Tracker, 90-Day Study Plan, Execution Board</t>
        </is>
      </c>
    </row>
    <row r="9">
      <c r="A9" t="n">
        <v>8</v>
      </c>
      <c r="B9" t="inlineStr">
        <is>
          <t>Monitor, operate, and improve agents after deployment</t>
        </is>
      </c>
      <c r="C9" t="inlineStr">
        <is>
          <t>Observability and operational model</t>
        </is>
      </c>
      <c r="D9" t="inlineStr">
        <is>
          <t>Architecture does not end at deployment</t>
        </is>
      </c>
      <c r="E9" t="inlineStr">
        <is>
          <t>Include telemetry, cost monitoring, response quality review, support model, and escalation path</t>
        </is>
      </c>
      <c r="F9" t="inlineStr">
        <is>
          <t>Dashboard, Exam Readiness, Agentic AI Arch Mistakes</t>
        </is>
      </c>
    </row>
    <row r="10">
      <c r="A10" t="n">
        <v>9</v>
      </c>
      <c r="B10" t="inlineStr">
        <is>
          <t>Evaluate and improve agent quality after launch</t>
        </is>
      </c>
      <c r="C10" t="inlineStr">
        <is>
          <t>Operational excellence and trustworthy AI</t>
        </is>
      </c>
      <c r="D10" t="inlineStr">
        <is>
          <t>Think quality gates, telemetry, scorecards, and human review</t>
        </is>
      </c>
      <c r="E10" t="inlineStr">
        <is>
          <t>Use evaluation metrics, feedback loops, and governance reviews</t>
        </is>
      </c>
      <c r="F10" t="inlineStr">
        <is>
          <t>Architecture Artifacts, Exam Readiness, Project Tracker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4.25"/>
  <cols>
    <col width="10" customWidth="1" min="1" max="1"/>
    <col width="42" customWidth="1" min="2" max="2"/>
    <col width="36" customWidth="1" min="3" max="4"/>
    <col width="42" customWidth="1" min="5" max="5"/>
    <col width="44" customWidth="1" min="6" max="6"/>
  </cols>
  <sheetData>
    <row r="1">
      <c r="A1" s="14" t="inlineStr">
        <is>
          <t>Mistake #</t>
        </is>
      </c>
      <c r="B1" s="14" t="inlineStr">
        <is>
          <t>Common Architecture Mistake</t>
        </is>
      </c>
      <c r="C1" s="14" t="inlineStr">
        <is>
          <t>Why It Happens</t>
        </is>
      </c>
      <c r="D1" s="14" t="inlineStr">
        <is>
          <t>Why It Is Dangerous</t>
        </is>
      </c>
      <c r="E1" s="14" t="inlineStr">
        <is>
          <t>Correct Architecture Pattern</t>
        </is>
      </c>
      <c r="F1" s="14" t="inlineStr">
        <is>
          <t>What To Say In Interviews</t>
        </is>
      </c>
    </row>
    <row r="2">
      <c r="A2" t="n">
        <v>1</v>
      </c>
      <c r="B2" t="inlineStr">
        <is>
          <t>Using a single LLM agent for complex enterprise workflows</t>
        </is>
      </c>
      <c r="C2" t="inlineStr">
        <is>
          <t>Most demos show one agent answering questions, so teams copy that design</t>
        </is>
      </c>
      <c r="D2" t="inlineStr">
        <is>
          <t>Single agents become unreliable when tasks require planning, validation, and external tool usage</t>
        </is>
      </c>
      <c r="E2" t="inlineStr">
        <is>
          <t>Use multi-agent orchestration with coordinator + worker agents (planner, researcher, validator)</t>
        </is>
      </c>
      <c r="F2" t="inlineStr">
        <is>
          <t>Explain that complex workflows should be decomposed into multiple agents coordinated by an orchestration layer</t>
        </is>
      </c>
    </row>
    <row r="3">
      <c r="A3" t="n">
        <v>2</v>
      </c>
      <c r="B3" t="inlineStr">
        <is>
          <t>Directly connecting LLMs to enterprise systems</t>
        </is>
      </c>
      <c r="C3" t="inlineStr">
        <is>
          <t>Developers expose APIs directly to the LLM through tools or plugins</t>
        </is>
      </c>
      <c r="D3" t="inlineStr">
        <is>
          <t>This creates security, auditing, and governance risks</t>
        </is>
      </c>
      <c r="E3" t="inlineStr">
        <is>
          <t>Introduce an API mediation layer using API Management, Functions, and policy enforcement</t>
        </is>
      </c>
      <c r="F3" t="inlineStr">
        <is>
          <t>Explain that enterprise agents should interact with systems through a controlled API layer with auditing and RBAC</t>
        </is>
      </c>
    </row>
    <row r="4">
      <c r="A4" t="n">
        <v>3</v>
      </c>
      <c r="B4" t="inlineStr">
        <is>
          <t>Ignoring enterprise governance and observability</t>
        </is>
      </c>
      <c r="C4" t="inlineStr">
        <is>
          <t>Many prototypes focus only on model output quality</t>
        </is>
      </c>
      <c r="D4" t="inlineStr">
        <is>
          <t>Production AI systems require monitoring, identity controls, and cost visibility</t>
        </is>
      </c>
      <c r="E4" t="inlineStr">
        <is>
          <t>Add governance layers: Entra ID, Key Vault, RBAC, telemetry, content safety, and cost monitoring</t>
        </is>
      </c>
      <c r="F4" t="inlineStr">
        <is>
          <t>Explain that enterprise AI platforms must include identity, secrets management, monitoring, and safety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25"/>
  <cols>
    <col width="36" customWidth="1" min="1" max="1"/>
    <col width="48" customWidth="1" min="2" max="2"/>
    <col width="24" customWidth="1" min="3" max="3"/>
    <col width="42" customWidth="1" min="4" max="4"/>
  </cols>
  <sheetData>
    <row r="1">
      <c r="A1" s="14" t="inlineStr">
        <is>
          <t>Project</t>
        </is>
      </c>
      <c r="B1" s="14" t="inlineStr">
        <is>
          <t>Why It Matters</t>
        </is>
      </c>
      <c r="C1" s="14" t="inlineStr">
        <is>
          <t>Diagram Sheet</t>
        </is>
      </c>
      <c r="D1" s="14" t="inlineStr">
        <is>
          <t>Image File</t>
        </is>
      </c>
    </row>
    <row r="2">
      <c r="A2" t="inlineStr">
        <is>
          <t>Enterprise RAG Knowledge Assistant</t>
        </is>
      </c>
      <c r="B2" t="inlineStr">
        <is>
          <t>Shows enterprise grounding, AI Search, document architecture</t>
        </is>
      </c>
      <c r="C2" t="inlineStr">
        <is>
          <t>Diag - RAG Assistant</t>
        </is>
      </c>
      <c r="D2" t="inlineStr">
        <is>
          <t>/mnt/data/ab100_diagrams/rag_architecture.png</t>
        </is>
      </c>
    </row>
    <row r="3">
      <c r="A3" t="inlineStr">
        <is>
          <t>Multi-Agent Workflow System</t>
        </is>
      </c>
      <c r="B3" t="inlineStr">
        <is>
          <t>Shows orchestration and collaboration patterns</t>
        </is>
      </c>
      <c r="C3" t="inlineStr">
        <is>
          <t>Diag - Multi-Agent</t>
        </is>
      </c>
      <c r="D3" t="inlineStr">
        <is>
          <t>/mnt/data/ab100_diagrams/multi_agent_architecture.png</t>
        </is>
      </c>
    </row>
    <row r="4">
      <c r="A4" t="inlineStr">
        <is>
          <t>AI Agent with Enterprise API Integration</t>
        </is>
      </c>
      <c r="B4" t="inlineStr">
        <is>
          <t>Shows business workflow automation and system integration</t>
        </is>
      </c>
      <c r="C4" t="inlineStr">
        <is>
          <t>Diag - API Integration</t>
        </is>
      </c>
      <c r="D4" t="inlineStr">
        <is>
          <t>/mnt/data/ab100_diagrams/api_integration_architecture.png</t>
        </is>
      </c>
    </row>
    <row r="5">
      <c r="A5" t="inlineStr">
        <is>
          <t>Secure Enterprise AI Architecture</t>
        </is>
      </c>
      <c r="B5" t="inlineStr">
        <is>
          <t>Shows enterprise security, private networking, RBAC, observability</t>
        </is>
      </c>
      <c r="C5" t="inlineStr">
        <is>
          <t>Diag - Secure AI</t>
        </is>
      </c>
      <c r="D5" t="inlineStr">
        <is>
          <t>/mnt/data/ab100_diagrams/secure_ai_architecture.png</t>
        </is>
      </c>
    </row>
    <row r="6">
      <c r="A6" t="inlineStr">
        <is>
          <t>Full Enterprise Agentic AI Platform (Capstone)</t>
        </is>
      </c>
      <c r="B6" t="inlineStr">
        <is>
          <t>Shows full end-to-end reference architecture</t>
        </is>
      </c>
      <c r="C6" t="inlineStr">
        <is>
          <t>Diag - Capstone</t>
        </is>
      </c>
      <c r="D6" t="inlineStr">
        <is>
          <t>/mnt/data/ab100_diagrams/capstone_architecture.png</t>
        </is>
      </c>
    </row>
    <row r="7">
      <c r="A7" t="inlineStr">
        <is>
          <t>Microsoft Agentic AI Platform Reference</t>
        </is>
      </c>
      <c r="B7" t="inlineStr">
        <is>
          <t>End-to-end architecture similar to patterns used in large enterprise AI deployments</t>
        </is>
      </c>
      <c r="C7" t="inlineStr">
        <is>
          <t>Diag - MS Agentic AI Ref</t>
        </is>
      </c>
      <c r="D7" t="inlineStr">
        <is>
          <t>/mnt/data/ab100_diagrams/ms_agentic_ai_reference_architecture.png</t>
        </is>
      </c>
    </row>
    <row r="8">
      <c r="A8" t="inlineStr">
        <is>
          <t>Agentic AI Arch Mistakes</t>
        </is>
      </c>
      <c r="B8" t="inlineStr">
        <is>
          <t>Three critical architecture mistakes and the correct design patterns</t>
        </is>
      </c>
      <c r="C8" t="inlineStr">
        <is>
          <t>Agentic AI Arch Mistakes</t>
        </is>
      </c>
    </row>
    <row r="9">
      <c r="A9" t="inlineStr">
        <is>
          <t>AB-100 Exam Question Patterns</t>
        </is>
      </c>
      <c r="B9" t="inlineStr">
        <is>
          <t>Scenario-style patterns the exam is likely to test</t>
        </is>
      </c>
      <c r="C9" t="inlineStr">
        <is>
          <t>AB-100 Q Patterns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25"/>
  <cols>
    <col width="36" customWidth="1" min="1" max="1"/>
    <col width="40" customWidth="1" min="2" max="3"/>
    <col width="42" customWidth="1" min="4" max="4"/>
    <col width="28" customWidth="1" min="5" max="5"/>
    <col width="24" customWidth="1" min="6" max="6"/>
    <col width="36" customWidth="1" min="7" max="7"/>
  </cols>
  <sheetData>
    <row r="1">
      <c r="A1" s="14" t="inlineStr">
        <is>
          <t>Project</t>
        </is>
      </c>
      <c r="B1" s="14" t="inlineStr">
        <is>
          <t>Why It Matters</t>
        </is>
      </c>
      <c r="C1" s="14" t="inlineStr">
        <is>
          <t>Architecture Skills Demonstrated</t>
        </is>
      </c>
      <c r="D1" s="14" t="inlineStr">
        <is>
          <t>What To Show In Interview</t>
        </is>
      </c>
      <c r="E1" s="14" t="inlineStr">
        <is>
          <t>Repo Folder Suggestion</t>
        </is>
      </c>
      <c r="F1" s="16" t="inlineStr">
        <is>
          <t>Diagram Sheet</t>
        </is>
      </c>
      <c r="G1" s="16" t="inlineStr">
        <is>
          <t>Microsoft Audit Note</t>
        </is>
      </c>
    </row>
    <row r="2">
      <c r="A2" t="inlineStr">
        <is>
          <t>Enterprise RAG Knowledge Assistant</t>
        </is>
      </c>
      <c r="B2" t="inlineStr">
        <is>
          <t>Shows enterprise data grounding and AI search integration</t>
        </is>
      </c>
      <c r="C2" t="inlineStr">
        <is>
          <t>Vector search, embeddings, grounding, data architecture</t>
        </is>
      </c>
      <c r="D2" t="inlineStr">
        <is>
          <t>Architecture diagram + demo querying enterprise docs</t>
        </is>
      </c>
      <c r="E2" t="inlineStr">
        <is>
          <t>rag-enterprise-assistant</t>
        </is>
      </c>
      <c r="F2" t="inlineStr">
        <is>
          <t>Diag - RAG Assistant</t>
        </is>
      </c>
      <c r="G2" t="inlineStr">
        <is>
          <t>Best for grounded enterprise data story.</t>
        </is>
      </c>
    </row>
    <row r="3">
      <c r="A3" t="inlineStr">
        <is>
          <t>Multi-Agent Workflow System</t>
        </is>
      </c>
      <c r="B3" t="inlineStr">
        <is>
          <t>Demonstrates agent orchestration which is core to agentic AI</t>
        </is>
      </c>
      <c r="C3" t="inlineStr">
        <is>
          <t>Planner agent, worker agents, orchestration patterns</t>
        </is>
      </c>
      <c r="D3" t="inlineStr">
        <is>
          <t>Flow diagram showing coordinator and workers</t>
        </is>
      </c>
      <c r="E3" t="inlineStr">
        <is>
          <t>multi-agent-orchestration</t>
        </is>
      </c>
      <c r="F3" t="inlineStr">
        <is>
          <t>Diag - Multi-Agent</t>
        </is>
      </c>
      <c r="G3" t="inlineStr">
        <is>
          <t>Best for orchestration and decomposition story.</t>
        </is>
      </c>
    </row>
    <row r="4">
      <c r="A4" t="inlineStr">
        <is>
          <t>AI Agent with Enterprise API Integration</t>
        </is>
      </c>
      <c r="B4" t="inlineStr">
        <is>
          <t>Shows how agents interact with enterprise systems</t>
        </is>
      </c>
      <c r="C4" t="inlineStr">
        <is>
          <t>Tool calling, APIs, functions, automation</t>
        </is>
      </c>
      <c r="D4" t="inlineStr">
        <is>
          <t>Demo where agent triggers business workflow</t>
        </is>
      </c>
      <c r="E4" t="inlineStr">
        <is>
          <t>agent-enterprise-tools</t>
        </is>
      </c>
      <c r="F4" t="inlineStr">
        <is>
          <t>Diag - API Integration</t>
        </is>
      </c>
      <c r="G4" t="inlineStr">
        <is>
          <t>Best for business automation and governance.</t>
        </is>
      </c>
    </row>
    <row r="5">
      <c r="A5" t="inlineStr">
        <is>
          <t>Secure Enterprise AI Architecture</t>
        </is>
      </c>
      <c r="B5" t="inlineStr">
        <is>
          <t>Shows enterprise readiness of AI solutions</t>
        </is>
      </c>
      <c r="C5" t="inlineStr">
        <is>
          <t>Private endpoints, Key Vault, RBAC, identity</t>
        </is>
      </c>
      <c r="D5" t="inlineStr">
        <is>
          <t>Security architecture diagram and design rationale</t>
        </is>
      </c>
      <c r="E5" t="inlineStr">
        <is>
          <t>secure-ai-platform</t>
        </is>
      </c>
      <c r="F5" t="inlineStr">
        <is>
          <t>Diag - Secure AI</t>
        </is>
      </c>
      <c r="G5" t="inlineStr">
        <is>
          <t>Best for regulated-enterprise security narrative.</t>
        </is>
      </c>
    </row>
    <row r="6">
      <c r="A6" t="inlineStr">
        <is>
          <t>Full Enterprise Agentic AI Platform (Capstone)</t>
        </is>
      </c>
      <c r="B6" t="inlineStr">
        <is>
          <t>End-to-end architecture combining all capabilities</t>
        </is>
      </c>
      <c r="C6" t="inlineStr">
        <is>
          <t>RAG + agents + APIs + security + governance</t>
        </is>
      </c>
      <c r="D6" t="inlineStr">
        <is>
          <t>Full architecture diagram + business case + repo</t>
        </is>
      </c>
      <c r="E6" t="inlineStr">
        <is>
          <t>agentic-ai-platform</t>
        </is>
      </c>
      <c r="F6" t="inlineStr">
        <is>
          <t>Diag - Capstone</t>
        </is>
      </c>
      <c r="G6" t="inlineStr">
        <is>
          <t>Best single diagram to lead with in interviews.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4.25"/>
  <cols>
    <col width="10" customWidth="1" min="1" max="1"/>
    <col width="42" customWidth="1" min="2" max="2"/>
    <col width="44" customWidth="1" min="3" max="3"/>
    <col width="24" customWidth="1" min="4" max="4"/>
  </cols>
  <sheetData>
    <row r="1" ht="126" customHeight="1">
      <c r="A1" s="1" t="inlineStr">
        <is>
          <t>AB-100 Prep Workbook - Start Here</t>
        </is>
      </c>
    </row>
    <row r="3">
      <c r="A3" s="3" t="inlineStr">
        <is>
          <t>Priority</t>
        </is>
      </c>
      <c r="B3" s="3" t="inlineStr">
        <is>
          <t>What to do</t>
        </is>
      </c>
      <c r="C3" s="3" t="inlineStr">
        <is>
          <t>Why</t>
        </is>
      </c>
      <c r="D3" s="3" t="inlineStr">
        <is>
          <t>Sheet / URL</t>
        </is>
      </c>
    </row>
    <row r="4" ht="28.5" customHeight="1">
      <c r="A4" s="6" t="n">
        <v>1</v>
      </c>
      <c r="B4" s="6" t="inlineStr">
        <is>
          <t>Read the AB-100 Domain Map and mark current confidence.</t>
        </is>
      </c>
      <c r="C4" s="6" t="inlineStr">
        <is>
          <t>This shows the real gap picture before you study more.</t>
        </is>
      </c>
      <c r="D4" s="6" t="inlineStr">
        <is>
          <t>AB-100 Domain Map</t>
        </is>
      </c>
    </row>
    <row r="5">
      <c r="A5" s="6" t="n">
        <v>2</v>
      </c>
      <c r="B5" s="6" t="inlineStr">
        <is>
          <t>Review Business Apps Coverage.</t>
        </is>
      </c>
      <c r="C5" s="6" t="inlineStr">
        <is>
          <t>AB-100 needs more than pure Azure AI build depth.</t>
        </is>
      </c>
      <c r="D5" s="6" t="inlineStr">
        <is>
          <t>Business Apps Coverage</t>
        </is>
      </c>
    </row>
    <row r="6">
      <c r="A6" s="6" t="n">
        <v>3</v>
      </c>
      <c r="B6" s="6" t="inlineStr">
        <is>
          <t>Fill one row in Business Case &amp; ROI.</t>
        </is>
      </c>
      <c r="C6" s="6" t="inlineStr">
        <is>
          <t>This adds business architecture and executive framing.</t>
        </is>
      </c>
      <c r="D6" s="6" t="inlineStr">
        <is>
          <t>Business Case &amp; ROI</t>
        </is>
      </c>
    </row>
    <row r="7">
      <c r="A7" s="6" t="n">
        <v>4</v>
      </c>
      <c r="B7" s="6" t="inlineStr">
        <is>
          <t>Start Week 1 in the 90-Day Study Plan.</t>
        </is>
      </c>
      <c r="C7" s="6" t="inlineStr">
        <is>
          <t>This gives you the right sequence.</t>
        </is>
      </c>
      <c r="D7" s="6" t="inlineStr">
        <is>
          <t>90-Day Study Plan</t>
        </is>
      </c>
    </row>
    <row r="8">
      <c r="A8" s="6" t="n">
        <v>5</v>
      </c>
      <c r="B8" s="6" t="inlineStr">
        <is>
          <t>Create or update the GitHub repo.</t>
        </is>
      </c>
      <c r="C8" s="6" t="inlineStr">
        <is>
          <t>You need portfolio proof alongside exam prep.</t>
        </is>
      </c>
      <c r="D8" s="6" t="inlineStr">
        <is>
          <t>Repo Setup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4.25"/>
  <cols>
    <col width="8" customWidth="1" min="1" max="1"/>
    <col width="22" customWidth="1" min="2" max="2"/>
    <col width="42" customWidth="1" min="3" max="3"/>
    <col width="10" customWidth="1" min="4" max="4"/>
    <col width="14" customWidth="1" min="5" max="5"/>
    <col width="12" customWidth="1" min="6" max="8"/>
    <col width="18" customWidth="1" min="9" max="10"/>
    <col width="10" customWidth="1" min="11" max="11"/>
    <col width="14" customWidth="1" min="12" max="12"/>
    <col width="38" customWidth="1" min="13" max="13"/>
  </cols>
  <sheetData>
    <row r="1">
      <c r="A1" s="10" t="inlineStr">
        <is>
          <t>Task ID</t>
        </is>
      </c>
      <c r="B1" s="10" t="inlineStr">
        <is>
          <t>Area</t>
        </is>
      </c>
      <c r="C1" s="10" t="inlineStr">
        <is>
          <t>Task</t>
        </is>
      </c>
      <c r="D1" s="10" t="inlineStr">
        <is>
          <t>Priority</t>
        </is>
      </c>
      <c r="E1" s="10" t="inlineStr">
        <is>
          <t>Status</t>
        </is>
      </c>
      <c r="F1" s="10" t="inlineStr">
        <is>
          <t>Owner</t>
        </is>
      </c>
      <c r="G1" s="10" t="inlineStr">
        <is>
          <t>Start Date</t>
        </is>
      </c>
      <c r="H1" s="10" t="inlineStr">
        <is>
          <t>Due Date</t>
        </is>
      </c>
      <c r="I1" s="10" t="inlineStr">
        <is>
          <t>Dependency</t>
        </is>
      </c>
      <c r="J1" s="10" t="inlineStr">
        <is>
          <t>Blocker</t>
        </is>
      </c>
      <c r="K1" s="10" t="inlineStr">
        <is>
          <t>Progress %</t>
        </is>
      </c>
      <c r="L1" s="10" t="inlineStr">
        <is>
          <t>Last Update</t>
        </is>
      </c>
      <c r="M1" s="10" t="inlineStr">
        <is>
          <t>Notes / Daily Log</t>
        </is>
      </c>
    </row>
    <row r="2">
      <c r="A2" s="6" t="n">
        <v>1</v>
      </c>
      <c r="B2" s="6" t="inlineStr">
        <is>
          <t>Exam Strategy</t>
        </is>
      </c>
      <c r="C2" s="6" t="inlineStr">
        <is>
          <t>Read AB-100 study guide and highlight domains</t>
        </is>
      </c>
      <c r="D2" s="6" t="inlineStr">
        <is>
          <t>High</t>
        </is>
      </c>
      <c r="E2" s="6" t="inlineStr">
        <is>
          <t>Not Started</t>
        </is>
      </c>
      <c r="F2" s="6" t="inlineStr">
        <is>
          <t>Upendra</t>
        </is>
      </c>
      <c r="G2" s="6" t="n"/>
      <c r="H2" s="6" t="n"/>
      <c r="I2" s="6" t="n"/>
      <c r="J2" s="6" t="n"/>
      <c r="K2" s="11" t="n">
        <v>0</v>
      </c>
      <c r="L2" s="6" t="n"/>
      <c r="M2" s="6" t="n"/>
    </row>
    <row r="3">
      <c r="A3" s="6" t="n">
        <v>2</v>
      </c>
      <c r="B3" s="6" t="inlineStr">
        <is>
          <t>Exam Strategy</t>
        </is>
      </c>
      <c r="C3" s="6" t="inlineStr">
        <is>
          <t>Complete AB-100 Domain Map confidence scores</t>
        </is>
      </c>
      <c r="D3" s="6" t="inlineStr">
        <is>
          <t>High</t>
        </is>
      </c>
      <c r="E3" s="6" t="inlineStr">
        <is>
          <t>Not Started</t>
        </is>
      </c>
      <c r="F3" s="6" t="inlineStr">
        <is>
          <t>Upendra</t>
        </is>
      </c>
      <c r="G3" s="6" t="n"/>
      <c r="H3" s="6" t="n"/>
      <c r="I3" s="6" t="inlineStr">
        <is>
          <t>Task 1</t>
        </is>
      </c>
      <c r="J3" s="6" t="n"/>
      <c r="K3" s="11" t="n">
        <v>0</v>
      </c>
      <c r="L3" s="6" t="n"/>
      <c r="M3" s="6" t="n"/>
    </row>
    <row r="4">
      <c r="A4" s="6" t="n">
        <v>3</v>
      </c>
      <c r="B4" s="6" t="inlineStr">
        <is>
          <t>Business Architecture</t>
        </is>
      </c>
      <c r="C4" s="6" t="inlineStr">
        <is>
          <t>Create first business use case + ROI entry</t>
        </is>
      </c>
      <c r="D4" s="6" t="inlineStr">
        <is>
          <t>High</t>
        </is>
      </c>
      <c r="E4" s="6" t="inlineStr">
        <is>
          <t>Not Started</t>
        </is>
      </c>
      <c r="F4" s="6" t="inlineStr">
        <is>
          <t>Upendra</t>
        </is>
      </c>
      <c r="G4" s="6" t="n"/>
      <c r="H4" s="6" t="n"/>
      <c r="I4" s="6" t="inlineStr">
        <is>
          <t>Task 1</t>
        </is>
      </c>
      <c r="J4" s="6" t="n"/>
      <c r="K4" s="11" t="n">
        <v>0</v>
      </c>
      <c r="L4" s="6" t="n"/>
      <c r="M4" s="6" t="n"/>
    </row>
    <row r="5">
      <c r="A5" s="6" t="n">
        <v>4</v>
      </c>
      <c r="B5" s="6" t="inlineStr">
        <is>
          <t>Environment Setup</t>
        </is>
      </c>
      <c r="C5" s="6" t="inlineStr">
        <is>
          <t>Validate Azure OpenAI and Foundry access</t>
        </is>
      </c>
      <c r="D5" s="6" t="inlineStr">
        <is>
          <t>High</t>
        </is>
      </c>
      <c r="E5" s="6" t="inlineStr">
        <is>
          <t>Not Started</t>
        </is>
      </c>
      <c r="F5" s="6" t="inlineStr">
        <is>
          <t>Upendra</t>
        </is>
      </c>
      <c r="G5" s="6" t="n"/>
      <c r="H5" s="6" t="n"/>
      <c r="I5" s="6" t="n"/>
      <c r="J5" s="6" t="n"/>
      <c r="K5" s="11" t="n">
        <v>0</v>
      </c>
      <c r="L5" s="6" t="n"/>
      <c r="M5" s="6" t="n"/>
    </row>
    <row r="6">
      <c r="A6" s="6" t="n">
        <v>5</v>
      </c>
      <c r="B6" s="6" t="inlineStr">
        <is>
          <t>Portfolio</t>
        </is>
      </c>
      <c r="C6" s="6" t="inlineStr">
        <is>
          <t>Create GitHub repo: azure-agentic-ai-architect-labs</t>
        </is>
      </c>
      <c r="D6" s="6" t="inlineStr">
        <is>
          <t>High</t>
        </is>
      </c>
      <c r="E6" s="6" t="inlineStr">
        <is>
          <t>Not Started</t>
        </is>
      </c>
      <c r="F6" s="6" t="inlineStr">
        <is>
          <t>Upendra</t>
        </is>
      </c>
      <c r="G6" s="6" t="n"/>
      <c r="H6" s="6" t="n"/>
      <c r="I6" s="6" t="n"/>
      <c r="J6" s="6" t="n"/>
      <c r="K6" s="11" t="n">
        <v>0</v>
      </c>
      <c r="L6" s="6" t="n"/>
      <c r="M6" s="6" t="n"/>
    </row>
    <row r="7">
      <c r="A7" s="6" t="n">
        <v>6</v>
      </c>
      <c r="B7" s="6" t="inlineStr">
        <is>
          <t>Business Apps</t>
        </is>
      </c>
      <c r="C7" s="6" t="inlineStr">
        <is>
          <t>Study Copilot Studio architecture basics</t>
        </is>
      </c>
      <c r="D7" s="6" t="inlineStr">
        <is>
          <t>High</t>
        </is>
      </c>
      <c r="E7" s="6" t="inlineStr">
        <is>
          <t>Not Started</t>
        </is>
      </c>
      <c r="F7" s="6" t="inlineStr">
        <is>
          <t>Upendra</t>
        </is>
      </c>
      <c r="G7" s="6" t="n"/>
      <c r="H7" s="6" t="n"/>
      <c r="I7" s="6" t="n"/>
      <c r="J7" s="6" t="n"/>
      <c r="K7" s="11" t="n">
        <v>0</v>
      </c>
      <c r="L7" s="6" t="n"/>
      <c r="M7" s="6" t="n"/>
    </row>
    <row r="8">
      <c r="A8" s="6" t="n">
        <v>7</v>
      </c>
      <c r="B8" s="6" t="inlineStr">
        <is>
          <t>Agent Development</t>
        </is>
      </c>
      <c r="C8" s="6" t="inlineStr">
        <is>
          <t>Build first Semantic Kernel agent</t>
        </is>
      </c>
      <c r="D8" s="6" t="inlineStr">
        <is>
          <t>Medium</t>
        </is>
      </c>
      <c r="E8" s="6" t="inlineStr">
        <is>
          <t>Not Started</t>
        </is>
      </c>
      <c r="F8" s="6" t="inlineStr">
        <is>
          <t>Upendra</t>
        </is>
      </c>
      <c r="G8" s="6" t="n"/>
      <c r="H8" s="6" t="n"/>
      <c r="I8" s="6" t="inlineStr">
        <is>
          <t>Task 4</t>
        </is>
      </c>
      <c r="J8" s="6" t="n"/>
      <c r="K8" s="11" t="n">
        <v>0</v>
      </c>
      <c r="L8" s="6" t="n"/>
      <c r="M8" s="6" t="n"/>
    </row>
    <row r="9">
      <c r="A9" s="6" t="n">
        <v>8</v>
      </c>
      <c r="B9" s="6" t="inlineStr">
        <is>
          <t>Architecture</t>
        </is>
      </c>
      <c r="C9" s="6" t="inlineStr">
        <is>
          <t>Design Enterprise RAG assistant architecture</t>
        </is>
      </c>
      <c r="D9" s="6" t="inlineStr">
        <is>
          <t>Medium</t>
        </is>
      </c>
      <c r="E9" s="6" t="inlineStr">
        <is>
          <t>Not Started</t>
        </is>
      </c>
      <c r="F9" s="6" t="inlineStr">
        <is>
          <t>Upendra</t>
        </is>
      </c>
      <c r="G9" s="6" t="n"/>
      <c r="H9" s="6" t="n"/>
      <c r="I9" s="6" t="inlineStr">
        <is>
          <t>Task 7</t>
        </is>
      </c>
      <c r="J9" s="6" t="n"/>
      <c r="K9" s="11" t="n">
        <v>0</v>
      </c>
      <c r="L9" s="6" t="n"/>
      <c r="M9" s="6" t="n"/>
    </row>
    <row r="10">
      <c r="A10" s="6" t="n">
        <v>9</v>
      </c>
      <c r="B10" s="6" t="inlineStr">
        <is>
          <t>Architecture</t>
        </is>
      </c>
      <c r="C10" s="6" t="inlineStr">
        <is>
          <t>Design multi-agent orchestration workflow</t>
        </is>
      </c>
      <c r="D10" s="6" t="inlineStr">
        <is>
          <t>Medium</t>
        </is>
      </c>
      <c r="E10" s="6" t="inlineStr">
        <is>
          <t>Not Started</t>
        </is>
      </c>
      <c r="F10" s="6" t="inlineStr">
        <is>
          <t>Upendra</t>
        </is>
      </c>
      <c r="G10" s="6" t="n"/>
      <c r="H10" s="6" t="n"/>
      <c r="I10" s="6" t="inlineStr">
        <is>
          <t>Task 7</t>
        </is>
      </c>
      <c r="J10" s="6" t="n"/>
      <c r="K10" s="11" t="n">
        <v>0</v>
      </c>
      <c r="L10" s="6" t="n"/>
      <c r="M10" s="6" t="n"/>
    </row>
    <row r="11">
      <c r="A11" s="6" t="n">
        <v>10</v>
      </c>
      <c r="B11" s="6" t="inlineStr">
        <is>
          <t>Governance</t>
        </is>
      </c>
      <c r="C11" s="6" t="inlineStr">
        <is>
          <t>Create ALM + environment strategy document</t>
        </is>
      </c>
      <c r="D11" s="6" t="inlineStr">
        <is>
          <t>Medium</t>
        </is>
      </c>
      <c r="E11" s="6" t="inlineStr">
        <is>
          <t>Not Started</t>
        </is>
      </c>
      <c r="F11" s="6" t="inlineStr">
        <is>
          <t>Upendra</t>
        </is>
      </c>
      <c r="G11" s="6" t="n"/>
      <c r="H11" s="6" t="n"/>
      <c r="I11" s="6" t="inlineStr">
        <is>
          <t>Task 5</t>
        </is>
      </c>
      <c r="J11" s="6" t="n"/>
      <c r="K11" s="11" t="n">
        <v>0</v>
      </c>
      <c r="L11" s="6" t="n"/>
      <c r="M11" s="6" t="n"/>
    </row>
    <row r="12">
      <c r="A12" s="6" t="n">
        <v>11</v>
      </c>
      <c r="B12" s="6" t="inlineStr">
        <is>
          <t>Standards</t>
        </is>
      </c>
      <c r="C12" s="6" t="inlineStr">
        <is>
          <t>Research MCP and Agent2Agent protocols</t>
        </is>
      </c>
      <c r="D12" s="6" t="inlineStr">
        <is>
          <t>Medium</t>
        </is>
      </c>
      <c r="E12" s="6" t="inlineStr">
        <is>
          <t>Not Started</t>
        </is>
      </c>
      <c r="F12" s="6" t="inlineStr">
        <is>
          <t>Upendra</t>
        </is>
      </c>
      <c r="G12" s="6" t="n"/>
      <c r="H12" s="6" t="n"/>
      <c r="I12" s="6" t="n"/>
      <c r="J12" s="6" t="n"/>
      <c r="K12" s="11" t="n">
        <v>0</v>
      </c>
      <c r="L12" s="6" t="n"/>
      <c r="M12" s="6" t="n"/>
    </row>
    <row r="13">
      <c r="A13" s="6" t="n">
        <v>12</v>
      </c>
      <c r="B13" s="6" t="inlineStr">
        <is>
          <t>Capstone</t>
        </is>
      </c>
      <c r="C13" s="6" t="inlineStr">
        <is>
          <t>Design full enterprise agentic AI platform</t>
        </is>
      </c>
      <c r="D13" s="6" t="inlineStr">
        <is>
          <t>High</t>
        </is>
      </c>
      <c r="E13" s="6" t="inlineStr">
        <is>
          <t>Not Started</t>
        </is>
      </c>
      <c r="F13" s="6" t="inlineStr">
        <is>
          <t>Upendra</t>
        </is>
      </c>
      <c r="G13" s="6" t="n"/>
      <c r="H13" s="6" t="n"/>
      <c r="I13" s="6" t="inlineStr">
        <is>
          <t>Task 8,9,10</t>
        </is>
      </c>
      <c r="J13" s="6" t="n"/>
      <c r="K13" s="11" t="n">
        <v>0</v>
      </c>
      <c r="L13" s="6" t="n"/>
      <c r="M13" s="6" t="n"/>
    </row>
    <row r="14">
      <c r="A14" t="n">
        <v>13</v>
      </c>
      <c r="B14" t="inlineStr">
        <is>
          <t>Evaluation</t>
        </is>
      </c>
      <c r="C14" t="inlineStr">
        <is>
          <t>Design evaluation and benchmarking framework</t>
        </is>
      </c>
      <c r="D14" t="inlineStr">
        <is>
          <t>Medium</t>
        </is>
      </c>
      <c r="E14" t="inlineStr">
        <is>
          <t>Not Started</t>
        </is>
      </c>
      <c r="F14" t="inlineStr">
        <is>
          <t>Upendra</t>
        </is>
      </c>
      <c r="I14" t="inlineStr">
        <is>
          <t>Task 8</t>
        </is>
      </c>
      <c r="K14" t="n">
        <v>0</v>
      </c>
    </row>
    <row r="15">
      <c r="A15" t="n">
        <v>14</v>
      </c>
      <c r="B15" t="inlineStr">
        <is>
          <t>Operations</t>
        </is>
      </c>
      <c r="C15" t="inlineStr">
        <is>
          <t>Define operating model and support responsibilities</t>
        </is>
      </c>
      <c r="D15" t="inlineStr">
        <is>
          <t>Medium</t>
        </is>
      </c>
      <c r="E15" t="inlineStr">
        <is>
          <t>Not Started</t>
        </is>
      </c>
      <c r="F15" t="inlineStr">
        <is>
          <t>Upendra</t>
        </is>
      </c>
      <c r="I15" t="inlineStr">
        <is>
          <t>Task 10</t>
        </is>
      </c>
      <c r="K15" t="n">
        <v>0</v>
      </c>
    </row>
    <row r="16">
      <c r="A16" t="n">
        <v>15</v>
      </c>
      <c r="B16" t="inlineStr">
        <is>
          <t>Architecture Artifacts</t>
        </is>
      </c>
      <c r="C16" t="inlineStr">
        <is>
          <t>Create ADRs, threat model, and cost estimate</t>
        </is>
      </c>
      <c r="D16" t="inlineStr">
        <is>
          <t>Medium</t>
        </is>
      </c>
      <c r="E16" t="inlineStr">
        <is>
          <t>Not Started</t>
        </is>
      </c>
      <c r="F16" t="inlineStr">
        <is>
          <t>Upendra</t>
        </is>
      </c>
      <c r="I16" t="inlineStr">
        <is>
          <t>Task 12</t>
        </is>
      </c>
      <c r="K16" t="n">
        <v>0</v>
      </c>
    </row>
    <row r="17">
      <c r="A17" t="n">
        <v>16</v>
      </c>
      <c r="B17" t="inlineStr">
        <is>
          <t>Thought Leadership</t>
        </is>
      </c>
      <c r="C17" t="inlineStr">
        <is>
          <t>Capture blog/post/diagram ideas from the labs</t>
        </is>
      </c>
      <c r="D17" t="inlineStr">
        <is>
          <t>Low</t>
        </is>
      </c>
      <c r="E17" t="inlineStr">
        <is>
          <t>Not Started</t>
        </is>
      </c>
      <c r="F17" t="inlineStr">
        <is>
          <t>Upendra</t>
        </is>
      </c>
      <c r="I17" t="inlineStr">
        <is>
          <t>Task 12</t>
        </is>
      </c>
      <c r="K17" t="n">
        <v>0</v>
      </c>
    </row>
  </sheetData>
  <dataValidations count="2">
    <dataValidation sqref="E2:E200" showDropDown="0" showInputMessage="0" showErrorMessage="0" allowBlank="1" type="list">
      <formula1>"Not Started,In Progress,Completed,Blocked"</formula1>
    </dataValidation>
    <dataValidation sqref="D2:D2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4.25"/>
  <cols>
    <col width="10" customWidth="1" min="1" max="1"/>
    <col width="34" customWidth="1" min="2" max="3"/>
    <col width="38" customWidth="1" min="4" max="4"/>
    <col width="26" customWidth="1" min="5" max="5"/>
    <col width="14" customWidth="1" min="6" max="6"/>
    <col width="42" customWidth="1" min="7" max="7"/>
    <col width="16" customWidth="1" min="8" max="8"/>
    <col width="12" customWidth="1" min="9" max="9"/>
    <col width="30" customWidth="1" min="10" max="10"/>
    <col width="26" customWidth="1" min="11" max="11"/>
    <col width="12" customWidth="1" min="12" max="12"/>
    <col width="34" customWidth="1" min="13" max="13"/>
    <col width="40" customWidth="1" min="14" max="14"/>
    <col width="24" customWidth="1" min="15" max="15"/>
  </cols>
  <sheetData>
    <row r="1" ht="144" customHeight="1">
      <c r="A1" s="12" t="inlineStr">
        <is>
          <t>AB-100 + Azure Agentic AI Architecture Tracker (V5)</t>
        </is>
      </c>
    </row>
    <row r="2" ht="142.5" customHeight="1">
      <c r="A2" s="2" t="inlineStr">
        <is>
          <t>Restored exam-critical structure while keeping execution and dashboard views.</t>
        </is>
      </c>
    </row>
    <row r="4" ht="28.5" customHeight="1">
      <c r="A4" s="3" t="inlineStr">
        <is>
          <t>Project #</t>
        </is>
      </c>
      <c r="B4" s="3" t="inlineStr">
        <is>
          <t>Project Name</t>
        </is>
      </c>
      <c r="C4" s="15" t="inlineStr">
        <is>
          <t>Interview Priority</t>
        </is>
      </c>
      <c r="D4" s="3" t="inlineStr">
        <is>
          <t>Objective</t>
        </is>
      </c>
      <c r="E4" s="3" t="inlineStr">
        <is>
          <t>Key Azure Services</t>
        </is>
      </c>
      <c r="F4" s="3" t="inlineStr">
        <is>
          <t>Skills Practiced</t>
        </is>
      </c>
      <c r="G4" s="3" t="inlineStr">
        <is>
          <t>Recommended Week</t>
        </is>
      </c>
      <c r="H4" s="3" t="inlineStr">
        <is>
          <t>Lab Steps (High Level)</t>
        </is>
      </c>
      <c r="I4" s="3" t="inlineStr">
        <is>
          <t>Status</t>
        </is>
      </c>
      <c r="J4" s="3" t="inlineStr">
        <is>
          <t>Hours Spent</t>
        </is>
      </c>
      <c r="K4" s="3" t="inlineStr">
        <is>
          <t>Notes / Learnings</t>
        </is>
      </c>
      <c r="L4" s="3" t="inlineStr">
        <is>
          <t>Project Folder / Repo Link</t>
        </is>
      </c>
      <c r="M4" s="3" t="inlineStr">
        <is>
          <t>Completion %</t>
        </is>
      </c>
      <c r="N4" s="3" t="inlineStr">
        <is>
          <t>Why this matters for AB-100</t>
        </is>
      </c>
      <c r="O4" s="3" t="inlineStr">
        <is>
          <t>Career Value</t>
        </is>
      </c>
    </row>
    <row r="5" ht="57" customHeight="1">
      <c r="A5" s="6" t="n">
        <v>1</v>
      </c>
      <c r="B5" s="6" t="inlineStr">
        <is>
          <t>Azure OpenAI Playground Exploration</t>
        </is>
      </c>
      <c r="D5" s="6" t="inlineStr">
        <is>
          <t>Understand Azure OpenAI deployment and prompt tuning</t>
        </is>
      </c>
      <c r="E5" s="6" t="inlineStr">
        <is>
          <t>Azure OpenAI</t>
        </is>
      </c>
      <c r="F5" s="6" t="inlineStr">
        <is>
          <t>Prompt engineering, model testing</t>
        </is>
      </c>
      <c r="G5" s="6" t="inlineStr">
        <is>
          <t>Week 1</t>
        </is>
      </c>
      <c r="H5" s="6" t="inlineStr">
        <is>
          <t>Deploy Azure OpenAI -&gt; test prompts -&gt; compare responses</t>
        </is>
      </c>
      <c r="I5" s="6" t="inlineStr">
        <is>
          <t>Not Started</t>
        </is>
      </c>
      <c r="J5" s="6" t="n"/>
      <c r="K5" s="6" t="n"/>
      <c r="L5" s="6" t="n"/>
      <c r="M5" s="11">
        <f>IF(I5="Completed",100%,IF(I5="In Progress",50%,IF(I5="Blocked",10%,0%)))</f>
        <v/>
      </c>
      <c r="N5" s="6" t="inlineStr">
        <is>
          <t>Supports deploy basics, but low direct exam coverage by itself.</t>
        </is>
      </c>
      <c r="O5" s="6" t="inlineStr">
        <is>
          <t>Portfolio support</t>
        </is>
      </c>
    </row>
    <row r="6" ht="71.25" customHeight="1">
      <c r="A6" s="6" t="n">
        <v>2</v>
      </c>
      <c r="B6" s="6" t="inlineStr">
        <is>
          <t>Build First AI Agent with Semantic Kernel</t>
        </is>
      </c>
      <c r="D6" s="6" t="inlineStr">
        <is>
          <t>Create a basic AI agent that can call tools</t>
        </is>
      </c>
      <c r="E6" s="6" t="inlineStr">
        <is>
          <t>Azure OpenAI, Semantic Kernel</t>
        </is>
      </c>
      <c r="F6" s="6" t="inlineStr">
        <is>
          <t>Agent orchestration, tool calling</t>
        </is>
      </c>
      <c r="G6" s="6" t="inlineStr">
        <is>
          <t>Week 2</t>
        </is>
      </c>
      <c r="H6" s="6" t="inlineStr">
        <is>
          <t>Create SK project -&gt; connect Azure OpenAI -&gt; add plugin/tool -&gt; run agent</t>
        </is>
      </c>
      <c r="I6" s="6" t="inlineStr">
        <is>
          <t>Not Started</t>
        </is>
      </c>
      <c r="J6" s="6" t="n"/>
      <c r="K6" s="6" t="n"/>
      <c r="L6" s="6" t="n"/>
      <c r="M6" s="11">
        <f>IF(I6="Completed",100%,IF(I6="In Progress",50%,IF(I6="Blocked",10%,0%)))</f>
        <v/>
      </c>
      <c r="N6" s="6" t="inlineStr">
        <is>
          <t>Useful for deploy/design coverage and agent orchestration understanding.</t>
        </is>
      </c>
      <c r="O6" s="6" t="inlineStr">
        <is>
          <t>Interview + portfolio</t>
        </is>
      </c>
    </row>
    <row r="7" ht="71.25" customHeight="1">
      <c r="A7" s="6" t="n">
        <v>3</v>
      </c>
      <c r="B7" s="6" t="inlineStr">
        <is>
          <t>Enterprise RAG Knowledge Assistant</t>
        </is>
      </c>
      <c r="C7" t="inlineStr">
        <is>
          <t>Top Interview Project</t>
        </is>
      </c>
      <c r="D7" s="6" t="inlineStr">
        <is>
          <t>Build a document-grounded AI assistant</t>
        </is>
      </c>
      <c r="E7" s="6" t="inlineStr">
        <is>
          <t>Azure AI Search, Azure OpenAI, Storage</t>
        </is>
      </c>
      <c r="F7" s="6" t="inlineStr">
        <is>
          <t>Embeddings, vector search, RAG architecture</t>
        </is>
      </c>
      <c r="G7" s="6" t="inlineStr">
        <is>
          <t>Week 3</t>
        </is>
      </c>
      <c r="H7" s="6" t="inlineStr">
        <is>
          <t>Upload docs -&gt; generate embeddings -&gt; vector search -&gt; grounded answers</t>
        </is>
      </c>
      <c r="I7" s="6" t="inlineStr">
        <is>
          <t>Not Started</t>
        </is>
      </c>
      <c r="J7" s="6" t="n"/>
      <c r="K7" s="6" t="n"/>
      <c r="L7" s="6" t="n"/>
      <c r="M7" s="11">
        <f>IF(I7="Completed",100%,IF(I7="In Progress",50%,IF(I7="Blocked",10%,0%)))</f>
        <v/>
      </c>
      <c r="N7" s="6" t="inlineStr">
        <is>
          <t>Useful for design/deploy trade-offs, grounding, enterprise data access, and architecture judgment.</t>
        </is>
      </c>
      <c r="O7" s="6" t="inlineStr">
        <is>
          <t>High interview value</t>
        </is>
      </c>
    </row>
    <row r="8" ht="57" customHeight="1">
      <c r="A8" s="6" t="n">
        <v>4</v>
      </c>
      <c r="B8" s="6" t="inlineStr">
        <is>
          <t>Multi-Agent Workflow System</t>
        </is>
      </c>
      <c r="C8" t="inlineStr">
        <is>
          <t>Top Interview Project</t>
        </is>
      </c>
      <c r="D8" s="6" t="inlineStr">
        <is>
          <t>Create coordinator + worker agents</t>
        </is>
      </c>
      <c r="E8" s="6" t="inlineStr">
        <is>
          <t>Azure OpenAI, Semantic Kernel</t>
        </is>
      </c>
      <c r="F8" s="6" t="inlineStr">
        <is>
          <t>Multi-agent orchestration</t>
        </is>
      </c>
      <c r="G8" s="6" t="inlineStr">
        <is>
          <t>Week 5</t>
        </is>
      </c>
      <c r="H8" s="6" t="inlineStr">
        <is>
          <t>Create planner -&gt; research -&gt; summarizer -&gt; orchestrate</t>
        </is>
      </c>
      <c r="I8" s="6" t="inlineStr">
        <is>
          <t>Not Started</t>
        </is>
      </c>
      <c r="J8" s="6" t="n"/>
      <c r="K8" s="6" t="n"/>
      <c r="L8" s="6" t="n"/>
      <c r="M8" s="11">
        <f>IF(I8="Completed",100%,IF(I8="In Progress",50%,IF(I8="Blocked",10%,0%)))</f>
        <v/>
      </c>
      <c r="N8" s="6" t="inlineStr">
        <is>
          <t>Directly useful because AB-100 expects agentic-first and multi-agent solution understanding.</t>
        </is>
      </c>
      <c r="O8" s="6" t="inlineStr">
        <is>
          <t>High interview value</t>
        </is>
      </c>
    </row>
    <row r="9" ht="42.75" customHeight="1">
      <c r="A9" s="6" t="n">
        <v>5</v>
      </c>
      <c r="B9" s="6" t="inlineStr">
        <is>
          <t>AI Agent with Enterprise API Integration</t>
        </is>
      </c>
      <c r="C9" t="inlineStr">
        <is>
          <t>Top Interview Project</t>
        </is>
      </c>
      <c r="D9" s="6" t="inlineStr">
        <is>
          <t>Agent performs real-world tasks using APIs</t>
        </is>
      </c>
      <c r="E9" s="6" t="inlineStr">
        <is>
          <t>Azure Functions, API Management, Azure OpenAI</t>
        </is>
      </c>
      <c r="F9" s="6" t="inlineStr">
        <is>
          <t>Tool integration, API orchestration</t>
        </is>
      </c>
      <c r="G9" s="6" t="inlineStr">
        <is>
          <t>Week 6</t>
        </is>
      </c>
      <c r="H9" s="6" t="inlineStr">
        <is>
          <t>Create API -&gt; connect agent -&gt; allow operations</t>
        </is>
      </c>
      <c r="I9" s="6" t="inlineStr">
        <is>
          <t>Not Started</t>
        </is>
      </c>
      <c r="J9" s="6" t="n"/>
      <c r="K9" s="6" t="n"/>
      <c r="L9" s="6" t="n"/>
      <c r="M9" s="11">
        <f>IF(I9="Completed",100%,IF(I9="In Progress",50%,IF(I9="Blocked",10%,0%)))</f>
        <v/>
      </c>
      <c r="N9" s="6" t="inlineStr">
        <is>
          <t>Useful for integration patterns and business-process automation scenarios.</t>
        </is>
      </c>
      <c r="O9" s="6" t="inlineStr">
        <is>
          <t>High interview value</t>
        </is>
      </c>
    </row>
    <row r="10" ht="42.75" customHeight="1">
      <c r="A10" s="6" t="n">
        <v>6</v>
      </c>
      <c r="B10" s="6" t="inlineStr">
        <is>
          <t>Secure Enterprise AI Architecture</t>
        </is>
      </c>
      <c r="C10" t="inlineStr">
        <is>
          <t>Top Interview Project</t>
        </is>
      </c>
      <c r="D10" s="6" t="inlineStr">
        <is>
          <t>Deploy AI solution with enterprise security</t>
        </is>
      </c>
      <c r="E10" s="6" t="inlineStr">
        <is>
          <t>Private Endpoints, Key Vault, Managed Identity</t>
        </is>
      </c>
      <c r="F10" s="6" t="inlineStr">
        <is>
          <t>Security architecture</t>
        </is>
      </c>
      <c r="G10" s="6" t="inlineStr">
        <is>
          <t>Week 7</t>
        </is>
      </c>
      <c r="H10" s="6" t="inlineStr">
        <is>
          <t>Enable private networking -&gt; Key Vault -&gt; RBAC</t>
        </is>
      </c>
      <c r="I10" s="6" t="inlineStr">
        <is>
          <t>Not Started</t>
        </is>
      </c>
      <c r="J10" s="6" t="n"/>
      <c r="K10" s="6" t="n"/>
      <c r="L10" s="6" t="n"/>
      <c r="M10" s="11">
        <f>IF(I10="Completed",100%,IF(I10="In Progress",50%,IF(I10="Blocked",10%,0%)))</f>
        <v/>
      </c>
      <c r="N10" s="6" t="inlineStr">
        <is>
          <t>Useful for deploy/governance/security/telemetry design.</t>
        </is>
      </c>
      <c r="O10" s="6" t="inlineStr">
        <is>
          <t>High interview value</t>
        </is>
      </c>
    </row>
    <row r="11" ht="57" customHeight="1">
      <c r="A11" s="6" t="n">
        <v>7</v>
      </c>
      <c r="B11" s="6" t="inlineStr">
        <is>
          <t>Responsible AI Monitoring System</t>
        </is>
      </c>
      <c r="D11" s="6" t="inlineStr">
        <is>
          <t>Implement safety, filtering and monitoring</t>
        </is>
      </c>
      <c r="E11" s="6" t="inlineStr">
        <is>
          <t>Content Safety, Log Analytics</t>
        </is>
      </c>
      <c r="F11" s="6" t="inlineStr">
        <is>
          <t>Responsible AI governance</t>
        </is>
      </c>
      <c r="G11" s="6" t="inlineStr">
        <is>
          <t>Week 8</t>
        </is>
      </c>
      <c r="H11" s="6" t="inlineStr">
        <is>
          <t>Enable safety filters -&gt; monitor logs -&gt; evaluate responses</t>
        </is>
      </c>
      <c r="I11" s="6" t="inlineStr">
        <is>
          <t>Not Started</t>
        </is>
      </c>
      <c r="J11" s="6" t="n"/>
      <c r="K11" s="6" t="n"/>
      <c r="L11" s="6" t="n"/>
      <c r="M11" s="11">
        <f>IF(I11="Completed",100%,IF(I11="In Progress",50%,IF(I11="Blocked",10%,0%)))</f>
        <v/>
      </c>
      <c r="N11" s="6" t="inlineStr">
        <is>
          <t>Useful for responsible AI, telemetry, governance, and production readiness.</t>
        </is>
      </c>
      <c r="O11" s="6" t="inlineStr">
        <is>
          <t>Interview + exam</t>
        </is>
      </c>
    </row>
    <row r="12" ht="71.25" customHeight="1">
      <c r="A12" s="6" t="n">
        <v>8</v>
      </c>
      <c r="B12" s="6" t="inlineStr">
        <is>
          <t>Full Enterprise Agentic AI Platform (Capstone)</t>
        </is>
      </c>
      <c r="C12" t="inlineStr">
        <is>
          <t>Top Interview Project</t>
        </is>
      </c>
      <c r="D12" s="6" t="inlineStr">
        <is>
          <t>Design complete agentic architecture suitable for enterprise</t>
        </is>
      </c>
      <c r="E12" s="6" t="inlineStr">
        <is>
          <t>Foundry, Azure OpenAI, AI Search, Functions</t>
        </is>
      </c>
      <c r="F12" s="6" t="inlineStr">
        <is>
          <t>End-to-end architecture design</t>
        </is>
      </c>
      <c r="G12" s="6" t="inlineStr">
        <is>
          <t>Week 9</t>
        </is>
      </c>
      <c r="H12" s="6" t="inlineStr">
        <is>
          <t>Combine RAG + agents + APIs + governance -&gt; create architecture diagram</t>
        </is>
      </c>
      <c r="I12" s="6" t="inlineStr">
        <is>
          <t>Not Started</t>
        </is>
      </c>
      <c r="J12" s="6" t="n"/>
      <c r="K12" s="6" t="n"/>
      <c r="L12" s="6" t="n"/>
      <c r="M12" s="11">
        <f>IF(I12="Completed",100%,IF(I12="In Progress",50%,IF(I12="Blocked",10%,0%)))</f>
        <v/>
      </c>
      <c r="N12" s="6" t="inlineStr">
        <is>
          <t>Strong synthesis across plan, design, and deploy when paired with business case and governance.</t>
        </is>
      </c>
      <c r="O12" s="6" t="inlineStr">
        <is>
          <t>Highest value</t>
        </is>
      </c>
    </row>
    <row r="13" ht="57" customHeight="1">
      <c r="A13" s="6" t="n">
        <v>9</v>
      </c>
      <c r="B13" s="6" t="inlineStr">
        <is>
          <t>Copilot Studio Business Agent</t>
        </is>
      </c>
      <c r="D13" s="6" t="inlineStr">
        <is>
          <t>Create a business-process agent using Copilot Studio concepts</t>
        </is>
      </c>
      <c r="E13" s="6" t="inlineStr">
        <is>
          <t>Copilot Studio, Power Platform</t>
        </is>
      </c>
      <c r="F13" s="6" t="inlineStr">
        <is>
          <t>Business process automation, agent planning</t>
        </is>
      </c>
      <c r="G13" s="6" t="inlineStr">
        <is>
          <t>Week 2</t>
        </is>
      </c>
      <c r="H13" s="6" t="inlineStr">
        <is>
          <t>Map use case -&gt; define actions -&gt; design integration points</t>
        </is>
      </c>
      <c r="I13" s="6" t="inlineStr">
        <is>
          <t>Not Started</t>
        </is>
      </c>
      <c r="J13" s="6" t="n"/>
      <c r="K13" s="6" t="n"/>
      <c r="L13" s="6" t="n"/>
      <c r="M13" s="11">
        <f>IF(I13="Completed",100%,IF(I13="In Progress",50%,IF(I13="Blocked",10%,0%)))</f>
        <v/>
      </c>
      <c r="N13" s="6" t="inlineStr">
        <is>
          <t>Adds direct AB-100 business-app and Copilot Studio coverage.</t>
        </is>
      </c>
      <c r="O13" s="6" t="inlineStr">
        <is>
          <t>Exam + interview</t>
        </is>
      </c>
    </row>
    <row r="14" ht="57" customHeight="1">
      <c r="A14" s="6" t="n">
        <v>10</v>
      </c>
      <c r="B14" s="6" t="inlineStr">
        <is>
          <t>Power Platform and Dynamics Use-Case Mapping</t>
        </is>
      </c>
      <c r="D14" s="6" t="inlineStr">
        <is>
          <t>Map when to use business apps vs custom Azure AI</t>
        </is>
      </c>
      <c r="E14" s="6" t="inlineStr">
        <is>
          <t>Power Platform, Dynamics 365</t>
        </is>
      </c>
      <c r="F14" s="6" t="inlineStr">
        <is>
          <t>Solution selection, architecture trade-offs</t>
        </is>
      </c>
      <c r="G14" s="6" t="inlineStr">
        <is>
          <t>Week 3</t>
        </is>
      </c>
      <c r="H14" s="6" t="inlineStr">
        <is>
          <t>Select 3 scenarios -&gt; map platform choices -&gt; capture trade-offs</t>
        </is>
      </c>
      <c r="I14" s="6" t="inlineStr">
        <is>
          <t>Not Started</t>
        </is>
      </c>
      <c r="J14" s="6" t="n"/>
      <c r="K14" s="6" t="n"/>
      <c r="L14" s="6" t="n"/>
      <c r="M14" s="11">
        <f>IF(I14="Completed",100%,IF(I14="In Progress",50%,IF(I14="Blocked",10%,0%)))</f>
        <v/>
      </c>
      <c r="N14" s="6" t="inlineStr">
        <is>
          <t>Adds plan/design decision coverage central to AB-100.</t>
        </is>
      </c>
      <c r="O14" s="6" t="inlineStr">
        <is>
          <t>Exam-heavy</t>
        </is>
      </c>
    </row>
    <row r="15" ht="57" customHeight="1">
      <c r="A15" s="6" t="n">
        <v>11</v>
      </c>
      <c r="B15" s="6" t="inlineStr">
        <is>
          <t>MCP and A2A Architecture Notes</t>
        </is>
      </c>
      <c r="D15" s="6" t="inlineStr">
        <is>
          <t>Study open standards and interoperability patterns</t>
        </is>
      </c>
      <c r="E15" s="6" t="inlineStr">
        <is>
          <t>MCP, A2A</t>
        </is>
      </c>
      <c r="F15" s="6" t="inlineStr">
        <is>
          <t>Open standards, interoperability</t>
        </is>
      </c>
      <c r="G15" s="6" t="inlineStr">
        <is>
          <t>Week 5</t>
        </is>
      </c>
      <c r="H15" s="6" t="inlineStr">
        <is>
          <t>Review docs -&gt; capture reference architecture and implications</t>
        </is>
      </c>
      <c r="I15" s="6" t="inlineStr">
        <is>
          <t>Not Started</t>
        </is>
      </c>
      <c r="J15" s="6" t="n"/>
      <c r="K15" s="6" t="n"/>
      <c r="L15" s="6" t="n"/>
      <c r="M15" s="11">
        <f>IF(I15="Completed",100%,IF(I15="In Progress",50%,IF(I15="Blocked",10%,0%)))</f>
        <v/>
      </c>
      <c r="N15" s="6" t="inlineStr">
        <is>
          <t>Covers MCP and Agent2Agent areas called out in the role profile.</t>
        </is>
      </c>
      <c r="O15" s="6" t="inlineStr">
        <is>
          <t>Exam + thought leadership</t>
        </is>
      </c>
    </row>
    <row r="16" ht="71.25" customHeight="1">
      <c r="A16" s="6" t="n">
        <v>12</v>
      </c>
      <c r="B16" s="6" t="inlineStr">
        <is>
          <t>ALM and Environment Strategy Pack</t>
        </is>
      </c>
      <c r="D16" s="6" t="inlineStr">
        <is>
          <t>Design dev/test/prod and release strategy</t>
        </is>
      </c>
      <c r="E16" s="6" t="inlineStr">
        <is>
          <t>GitHub/Azure DevOps, Power Platform ALM concepts</t>
        </is>
      </c>
      <c r="F16" s="6" t="inlineStr">
        <is>
          <t>ALM, release strategy, environment isolation</t>
        </is>
      </c>
      <c r="G16" s="6" t="inlineStr">
        <is>
          <t>Week 6</t>
        </is>
      </c>
      <c r="H16" s="6" t="inlineStr">
        <is>
          <t>Define environments -&gt; promotion flow -&gt; rollback -&gt; access model</t>
        </is>
      </c>
      <c r="I16" s="6" t="inlineStr">
        <is>
          <t>Not Started</t>
        </is>
      </c>
      <c r="J16" s="6" t="n"/>
      <c r="K16" s="6" t="n"/>
      <c r="L16" s="6" t="n"/>
      <c r="M16" s="11">
        <f>IF(I16="Completed",100%,IF(I16="In Progress",50%,IF(I16="Blocked",10%,0%)))</f>
        <v/>
      </c>
      <c r="N16" s="6" t="inlineStr">
        <is>
          <t>Covers ALM and environment strategy gaps.</t>
        </is>
      </c>
      <c r="O16" s="6" t="inlineStr">
        <is>
          <t>High interview value</t>
        </is>
      </c>
    </row>
    <row r="17" ht="57" customHeight="1">
      <c r="A17" s="6" t="n">
        <v>13</v>
      </c>
      <c r="B17" s="6" t="inlineStr">
        <is>
          <t>Business Case and ROI Model for Agentic AI</t>
        </is>
      </c>
      <c r="D17" s="6" t="inlineStr">
        <is>
          <t>Create KPI, ROI, adoption, and risk model</t>
        </is>
      </c>
      <c r="E17" s="6" t="inlineStr">
        <is>
          <t>Excel/Architecture artifacts</t>
        </is>
      </c>
      <c r="F17" s="6" t="inlineStr">
        <is>
          <t>Value framing, KPI design, executive storytelling</t>
        </is>
      </c>
      <c r="G17" s="6" t="inlineStr">
        <is>
          <t>Week 1</t>
        </is>
      </c>
      <c r="H17" s="6" t="inlineStr">
        <is>
          <t>Define baseline -&gt; target KPIs -&gt; assumptions -&gt; ROI summary</t>
        </is>
      </c>
      <c r="I17" s="6" t="inlineStr">
        <is>
          <t>Not Started</t>
        </is>
      </c>
      <c r="J17" s="6" t="n"/>
      <c r="K17" s="6" t="n"/>
      <c r="L17" s="6" t="n"/>
      <c r="M17" s="11">
        <f>IF(I17="Completed",100%,IF(I17="In Progress",50%,IF(I17="Blocked",10%,0%)))</f>
        <v/>
      </c>
      <c r="N17" s="6" t="inlineStr">
        <is>
          <t>Direct AB-100 planning coverage around measurable business outcomes.</t>
        </is>
      </c>
      <c r="O17" s="6" t="inlineStr">
        <is>
          <t>Executive + exam</t>
        </is>
      </c>
    </row>
    <row r="18">
      <c r="A18" t="inlineStr">
        <is>
          <t>14</t>
        </is>
      </c>
      <c r="B18" t="inlineStr">
        <is>
          <t>Agent Evaluation and Benchmarking Framework</t>
        </is>
      </c>
      <c r="C18" t="inlineStr">
        <is>
          <t>Top Interview Project</t>
        </is>
      </c>
      <c r="D18" t="inlineStr">
        <is>
          <t>Design evaluation flow for accuracy, groundedness, latency, and safety</t>
        </is>
      </c>
      <c r="E18" t="inlineStr">
        <is>
          <t>Foundry evaluations, test datasets, prompt flow</t>
        </is>
      </c>
      <c r="F18" t="inlineStr">
        <is>
          <t>Evaluation, quality gates, benchmarking</t>
        </is>
      </c>
      <c r="G18" t="inlineStr">
        <is>
          <t>Week 8</t>
        </is>
      </c>
      <c r="H18" t="inlineStr">
        <is>
          <t>Define eval metrics -&gt; sample prompts -&gt; compare outputs -&gt; score results</t>
        </is>
      </c>
      <c r="I18" t="inlineStr">
        <is>
          <t>Not Started</t>
        </is>
      </c>
      <c r="L18" s="21">
        <f>IF(I18="Completed",100%,IF(I18="In Progress",50%,IF(I18="Blocked",10%,0%)))</f>
        <v/>
      </c>
      <c r="M18" s="21">
        <f>IF(I18="Completed",100%,IF(I18="In Progress",50%,IF(I18="Blocked",10%,0%)))</f>
        <v/>
      </c>
      <c r="N18" t="inlineStr">
        <is>
          <t>Improves truthfulness and production readiness. Useful for responsible AI and operational excellence.</t>
        </is>
      </c>
      <c r="O18" t="inlineStr">
        <is>
          <t>High interview value</t>
        </is>
      </c>
    </row>
    <row r="19">
      <c r="A19" t="inlineStr">
        <is>
          <t>15</t>
        </is>
      </c>
      <c r="B19" t="inlineStr">
        <is>
          <t>Operating Model and Support Model</t>
        </is>
      </c>
      <c r="D19" t="inlineStr">
        <is>
          <t>Define support, incident, ownership, and review model for agents</t>
        </is>
      </c>
      <c r="E19" t="inlineStr">
        <is>
          <t>Architecture/process artifact</t>
        </is>
      </c>
      <c r="F19" t="inlineStr">
        <is>
          <t>Operating model, adoption, service ownership</t>
        </is>
      </c>
      <c r="G19" t="inlineStr">
        <is>
          <t>Week 8</t>
        </is>
      </c>
      <c r="H19" t="inlineStr">
        <is>
          <t>Define L1/L2 ownership -&gt; incident flow -&gt; change review -&gt; KPI review cadence</t>
        </is>
      </c>
      <c r="I19" t="inlineStr">
        <is>
          <t>Not Started</t>
        </is>
      </c>
      <c r="L19" s="21">
        <f>IF(I19="Completed",100%,IF(I19="In Progress",50%,IF(I19="Blocked",10%,0%)))</f>
        <v/>
      </c>
      <c r="M19" s="21">
        <f>IF(I19="Completed",100%,IF(I19="In Progress",50%,IF(I19="Blocked",10%,0%)))</f>
        <v/>
      </c>
      <c r="N19" t="inlineStr">
        <is>
          <t>Supports deploy-domain readiness, adoption, and long-term operations.</t>
        </is>
      </c>
      <c r="O19" t="inlineStr">
        <is>
          <t>Executive + exam</t>
        </is>
      </c>
    </row>
    <row r="20">
      <c r="A20" t="inlineStr">
        <is>
          <t>16</t>
        </is>
      </c>
      <c r="B20" t="inlineStr">
        <is>
          <t>Architecture Artifacts Pack</t>
        </is>
      </c>
      <c r="C20" t="inlineStr">
        <is>
          <t>Top Interview Project</t>
        </is>
      </c>
      <c r="D20" t="inlineStr">
        <is>
          <t>Create ADRs, threat model, cost estimate, and deployment decisions</t>
        </is>
      </c>
      <c r="E20" t="inlineStr">
        <is>
          <t>Architecture artifacts</t>
        </is>
      </c>
      <c r="F20" t="inlineStr">
        <is>
          <t>Decision records, threat modeling, cost awareness</t>
        </is>
      </c>
      <c r="G20" t="inlineStr">
        <is>
          <t>Week 9</t>
        </is>
      </c>
      <c r="H20" t="inlineStr">
        <is>
          <t>Prepare ADRs -&gt; threat model -&gt; cost assumptions -&gt; deployment checklist</t>
        </is>
      </c>
      <c r="I20" t="inlineStr">
        <is>
          <t>Not Started</t>
        </is>
      </c>
      <c r="L20" s="21">
        <f>IF(I20="Completed",100%,IF(I20="In Progress",50%,IF(I20="Blocked",10%,0%)))</f>
        <v/>
      </c>
      <c r="M20" s="21">
        <f>IF(I20="Completed",100%,IF(I20="In Progress",50%,IF(I20="Blocked",10%,0%)))</f>
        <v/>
      </c>
      <c r="N20" t="inlineStr">
        <is>
          <t>Very strong for interviews because it proves architecture discipline beyond code and diagrams.</t>
        </is>
      </c>
      <c r="O20" t="inlineStr">
        <is>
          <t>Highest value</t>
        </is>
      </c>
    </row>
    <row r="21">
      <c r="A21" t="inlineStr">
        <is>
          <t>17</t>
        </is>
      </c>
      <c r="B21" t="inlineStr">
        <is>
          <t>Thought Leadership Topics Backlog</t>
        </is>
      </c>
      <c r="D21" t="inlineStr">
        <is>
          <t>Convert learning into publishable insights and diagrams</t>
        </is>
      </c>
      <c r="E21" t="inlineStr">
        <is>
          <t>Portfolio/LinkedIn/GitHub</t>
        </is>
      </c>
      <c r="F21" t="inlineStr">
        <is>
          <t>Communication, technical storytelling</t>
        </is>
      </c>
      <c r="G21" t="inlineStr">
        <is>
          <t>Week 10</t>
        </is>
      </c>
      <c r="H21" t="inlineStr">
        <is>
          <t>List blog ideas -&gt; post ideas -&gt; diagram ideas -&gt; repo notes</t>
        </is>
      </c>
      <c r="I21" t="inlineStr">
        <is>
          <t>Not Started</t>
        </is>
      </c>
      <c r="L21" s="21">
        <f>IF(I21="Completed",100%,IF(I21="In Progress",50%,IF(I21="Blocked",10%,0%)))</f>
        <v/>
      </c>
      <c r="M21" s="21">
        <f>IF(I21="Completed",100%,IF(I21="In Progress",50%,IF(I21="Blocked",10%,0%)))</f>
        <v/>
      </c>
      <c r="N21" t="inlineStr">
        <is>
          <t>High career value. Helps turn certification work into visible authority.</t>
        </is>
      </c>
      <c r="O21" t="inlineStr">
        <is>
          <t>Career value</t>
        </is>
      </c>
    </row>
  </sheetData>
  <dataValidations count="1">
    <dataValidation sqref="H5:H200" showDropDown="0" showInputMessage="0" showErrorMessage="0" allowBlank="1" type="list">
      <formula1>"Not Started,In Progress,Completed,Blocked"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4.25"/>
  <cols>
    <col width="16" customWidth="1" min="1" max="1"/>
    <col width="44" customWidth="1" min="2" max="3"/>
    <col width="12" customWidth="1" min="4" max="4"/>
    <col width="70" customWidth="1" min="5" max="5"/>
    <col width="34" customWidth="1" min="6" max="6"/>
    <col width="46" customWidth="1" min="7" max="7"/>
  </cols>
  <sheetData>
    <row r="1">
      <c r="A1" s="10" t="inlineStr">
        <is>
          <t>Category</t>
        </is>
      </c>
      <c r="B1" s="10" t="inlineStr">
        <is>
          <t>Resource Name</t>
        </is>
      </c>
      <c r="C1" s="10" t="inlineStr">
        <is>
          <t>Why It Matters</t>
        </is>
      </c>
      <c r="D1" s="10" t="inlineStr">
        <is>
          <t>Priority</t>
        </is>
      </c>
      <c r="E1" s="10" t="inlineStr">
        <is>
          <t>Actual URL</t>
        </is>
      </c>
      <c r="F1" s="10" t="inlineStr">
        <is>
          <t>Suggested Use</t>
        </is>
      </c>
      <c r="G1" s="10" t="inlineStr">
        <is>
          <t>Notes</t>
        </is>
      </c>
    </row>
    <row r="2" ht="28.5" customHeight="1">
      <c r="A2" s="6" t="inlineStr">
        <is>
          <t>Official</t>
        </is>
      </c>
      <c r="B2" s="6" t="inlineStr">
        <is>
          <t>AB-100 certification page</t>
        </is>
      </c>
      <c r="C2" s="6" t="inlineStr">
        <is>
          <t>Primary anchor for exam details and role profile</t>
        </is>
      </c>
      <c r="D2" s="6" t="inlineStr">
        <is>
          <t>High</t>
        </is>
      </c>
      <c r="E2" s="7" t="inlineStr">
        <is>
          <t>https://learn.microsoft.com/en-us/credentials/certifications/agentic-ai-business-solutions-architect/</t>
        </is>
      </c>
      <c r="F2" s="6" t="inlineStr">
        <is>
          <t>Check first for role scope and prerequisites</t>
        </is>
      </c>
      <c r="G2" s="6" t="n"/>
    </row>
    <row r="3" ht="28.5" customHeight="1">
      <c r="A3" s="6" t="inlineStr">
        <is>
          <t>Official</t>
        </is>
      </c>
      <c r="B3" s="6" t="inlineStr">
        <is>
          <t>AB-100 official study guide</t>
        </is>
      </c>
      <c r="C3" s="6" t="inlineStr">
        <is>
          <t>Best source for exact exam scope and coverage</t>
        </is>
      </c>
      <c r="D3" s="6" t="inlineStr">
        <is>
          <t>High</t>
        </is>
      </c>
      <c r="E3" s="7" t="inlineStr">
        <is>
          <t>https://learn.microsoft.com/en-us/credentials/certifications/resources/study-guides/ab-100</t>
        </is>
      </c>
      <c r="F3" s="6" t="inlineStr">
        <is>
          <t>Read fully in Week 1 and revisit weekly</t>
        </is>
      </c>
      <c r="G3" s="6" t="inlineStr">
        <is>
          <t>May require Microsoft Learn sign-in</t>
        </is>
      </c>
    </row>
    <row r="4" ht="42.75" customHeight="1">
      <c r="A4" s="6" t="inlineStr">
        <is>
          <t>Official</t>
        </is>
      </c>
      <c r="B4" s="6" t="inlineStr">
        <is>
          <t>AB-100T00 course</t>
        </is>
      </c>
      <c r="C4" s="6" t="inlineStr">
        <is>
          <t>Official architecture-focused training course</t>
        </is>
      </c>
      <c r="D4" s="6" t="inlineStr">
        <is>
          <t>High</t>
        </is>
      </c>
      <c r="E4" s="7" t="inlineStr">
        <is>
          <t>https://learn.microsoft.com/en-us/training/courses/ab-100t00</t>
        </is>
      </c>
      <c r="F4" s="6" t="inlineStr">
        <is>
          <t>Use as structured architecture context</t>
        </is>
      </c>
      <c r="G4" s="6" t="inlineStr">
        <is>
          <t>Useful architecture context, but the certification page still says no official training is available for the exam itself.</t>
        </is>
      </c>
    </row>
    <row r="5" ht="28.5" customHeight="1">
      <c r="A5" s="6" t="inlineStr">
        <is>
          <t>Hands-on Lab</t>
        </is>
      </c>
      <c r="B5" s="6" t="inlineStr">
        <is>
          <t>Applied Skills: Develop generative AI apps with Azure OpenAI and Semantic Kernel</t>
        </is>
      </c>
      <c r="C5" s="6" t="inlineStr">
        <is>
          <t>Best official practical lab for Azure agent-building</t>
        </is>
      </c>
      <c r="D5" s="6" t="inlineStr">
        <is>
          <t>High</t>
        </is>
      </c>
      <c r="E5" s="7" t="inlineStr">
        <is>
          <t>https://learn.microsoft.com/en-us/credentials/applied-skills/develop-ai-agents-using-microsoft-azure-openai-and-semantic-kernel/</t>
        </is>
      </c>
      <c r="F5" s="6" t="inlineStr">
        <is>
          <t>Complete by Week 4 or 5</t>
        </is>
      </c>
      <c r="G5" s="6" t="inlineStr">
        <is>
          <t>Useful accelerator, not a full exam proxy</t>
        </is>
      </c>
    </row>
    <row r="6" ht="28.5" customHeight="1">
      <c r="A6" s="6" t="inlineStr">
        <is>
          <t>Official Docs</t>
        </is>
      </c>
      <c r="B6" s="6" t="inlineStr">
        <is>
          <t>Microsoft Foundry documentation</t>
        </is>
      </c>
      <c r="C6" s="6" t="inlineStr">
        <is>
          <t>Core platform docs for AI apps, models, and agents</t>
        </is>
      </c>
      <c r="D6" s="6" t="inlineStr">
        <is>
          <t>High</t>
        </is>
      </c>
      <c r="E6" s="7" t="inlineStr">
        <is>
          <t>https://learn.microsoft.com/en-us/azure/foundry/</t>
        </is>
      </c>
      <c r="F6" s="6" t="inlineStr">
        <is>
          <t>Use during all build weeks</t>
        </is>
      </c>
      <c r="G6" s="6" t="inlineStr">
        <is>
          <t>Current docs use the name Microsoft Foundry and describe it as an AI app and agent factory.</t>
        </is>
      </c>
    </row>
    <row r="7" ht="28.5" customHeight="1">
      <c r="A7" s="6" t="inlineStr">
        <is>
          <t>Official Docs</t>
        </is>
      </c>
      <c r="B7" s="6" t="inlineStr">
        <is>
          <t>Copilot Studio documentation</t>
        </is>
      </c>
      <c r="C7" s="6" t="inlineStr">
        <is>
          <t>Critical for business-agent scenarios and AB-100 breadth</t>
        </is>
      </c>
      <c r="D7" s="6" t="inlineStr">
        <is>
          <t>High</t>
        </is>
      </c>
      <c r="E7" s="7" t="inlineStr">
        <is>
          <t>https://learn.microsoft.com/en-us/microsoft-copilot-studio/</t>
        </is>
      </c>
      <c r="F7" s="6" t="inlineStr">
        <is>
          <t>Use in Week 2 and Week 3</t>
        </is>
      </c>
      <c r="G7" s="6" t="n"/>
    </row>
    <row r="8">
      <c r="A8" s="6" t="inlineStr">
        <is>
          <t>Official Docs</t>
        </is>
      </c>
      <c r="B8" s="6" t="inlineStr">
        <is>
          <t>Power Platform documentation</t>
        </is>
      </c>
      <c r="C8" s="6" t="inlineStr">
        <is>
          <t>Needed for business-app trade-off decisions</t>
        </is>
      </c>
      <c r="D8" s="6" t="inlineStr">
        <is>
          <t>Medium</t>
        </is>
      </c>
      <c r="E8" s="7" t="inlineStr">
        <is>
          <t>https://learn.microsoft.com/en-us/power-platform/</t>
        </is>
      </c>
      <c r="F8" s="6" t="inlineStr">
        <is>
          <t>Use in Week 3</t>
        </is>
      </c>
      <c r="G8" s="6" t="n"/>
    </row>
    <row r="9">
      <c r="A9" s="6" t="inlineStr">
        <is>
          <t>Official Docs</t>
        </is>
      </c>
      <c r="B9" s="6" t="inlineStr">
        <is>
          <t>Dynamics 365 documentation</t>
        </is>
      </c>
      <c r="C9" s="6" t="inlineStr">
        <is>
          <t>Needed for business-process architecture awareness</t>
        </is>
      </c>
      <c r="D9" s="6" t="inlineStr">
        <is>
          <t>Medium</t>
        </is>
      </c>
      <c r="E9" s="7" t="inlineStr">
        <is>
          <t>https://learn.microsoft.com/en-us/dynamics365/</t>
        </is>
      </c>
      <c r="F9" s="6" t="inlineStr">
        <is>
          <t>Use in Week 3</t>
        </is>
      </c>
      <c r="G9" s="6" t="n"/>
    </row>
    <row r="10" ht="28.5" customHeight="1">
      <c r="A10" s="6" t="inlineStr">
        <is>
          <t>Official Docs</t>
        </is>
      </c>
      <c r="B10" s="6" t="inlineStr">
        <is>
          <t>Semantic Kernel GitHub</t>
        </is>
      </c>
      <c r="C10" s="6" t="inlineStr">
        <is>
          <t>Main SDK repo for samples and patterns</t>
        </is>
      </c>
      <c r="D10" s="6" t="inlineStr">
        <is>
          <t>High</t>
        </is>
      </c>
      <c r="E10" s="7" t="inlineStr">
        <is>
          <t>https://github.com/microsoft/semantic-kernel</t>
        </is>
      </c>
      <c r="F10" s="6" t="inlineStr">
        <is>
          <t>Use for samples and implementation patterns</t>
        </is>
      </c>
      <c r="G10" s="6" t="n"/>
    </row>
    <row r="11">
      <c r="A11" s="6" t="inlineStr">
        <is>
          <t>Official Docs</t>
        </is>
      </c>
      <c r="B11" s="6" t="inlineStr">
        <is>
          <t>Semantic Kernel detailed samples</t>
        </is>
      </c>
      <c r="C11" s="6" t="inlineStr">
        <is>
          <t>Advanced scenarios beyond basic Learn modules</t>
        </is>
      </c>
      <c r="D11" s="6" t="inlineStr">
        <is>
          <t>High</t>
        </is>
      </c>
      <c r="E11" s="7" t="inlineStr">
        <is>
          <t>https://learn.microsoft.com/en-us/semantic-kernel/get-started/detailed-samples</t>
        </is>
      </c>
      <c r="F11" s="6" t="inlineStr">
        <is>
          <t>Use from Week 3 onward</t>
        </is>
      </c>
      <c r="G11" s="6" t="n"/>
    </row>
    <row r="12" ht="28.5" customHeight="1">
      <c r="A12" s="6" t="inlineStr">
        <is>
          <t>Your Existing Course</t>
        </is>
      </c>
      <c r="B12" s="6" t="inlineStr">
        <is>
          <t>Level Up: Implement with impact: Azure AI Foundry + Agents</t>
        </is>
      </c>
      <c r="C12" s="6" t="inlineStr">
        <is>
          <t>Strong video accelerator that matches your learning style</t>
        </is>
      </c>
      <c r="D12" s="6" t="inlineStr">
        <is>
          <t>High</t>
        </is>
      </c>
      <c r="E12" s="7" t="inlineStr">
        <is>
          <t>https://learn.mslevelup.com/learner_course/show/1945694</t>
        </is>
      </c>
      <c r="F12" s="6" t="inlineStr">
        <is>
          <t>Use as your main video course</t>
        </is>
      </c>
      <c r="G12" s="6" t="n"/>
    </row>
    <row r="13">
      <c r="A13" t="inlineStr">
        <is>
          <t>Official Docs</t>
        </is>
      </c>
      <c r="B13" t="inlineStr">
        <is>
          <t>Model Context Protocol documentation</t>
        </is>
      </c>
      <c r="C13" t="inlineStr">
        <is>
          <t>Relevant for interoperability concepts called out in the AB-100 role profile</t>
        </is>
      </c>
      <c r="D13" t="inlineStr">
        <is>
          <t>Medium</t>
        </is>
      </c>
      <c r="E13" s="22" t="inlineStr">
        <is>
          <t>https://modelcontextprotocol.io/docs/getting-started/intro</t>
        </is>
      </c>
      <c r="F13" t="inlineStr">
        <is>
          <t>Use in Week 5</t>
        </is>
      </c>
      <c r="G13" t="inlineStr">
        <is>
          <t>Open standard, not Microsoft-specific</t>
        </is>
      </c>
    </row>
    <row r="14">
      <c r="A14" t="inlineStr">
        <is>
          <t>Official Docs</t>
        </is>
      </c>
      <c r="B14" t="inlineStr">
        <is>
          <t>Agent2Agent (A2A) project</t>
        </is>
      </c>
      <c r="C14" t="inlineStr">
        <is>
          <t>Relevant for interoperability concepts called out in the AB-100 role profile</t>
        </is>
      </c>
      <c r="D14" t="inlineStr">
        <is>
          <t>Medium</t>
        </is>
      </c>
      <c r="E14" s="22" t="inlineStr">
        <is>
          <t>https://github.com/a2aproject/A2A</t>
        </is>
      </c>
      <c r="F14" t="inlineStr">
        <is>
          <t>Use in Week 5</t>
        </is>
      </c>
      <c r="G14" t="inlineStr">
        <is>
          <t>Open protocol project under the Linux Foundation, originally contributed by Google</t>
        </is>
      </c>
    </row>
    <row r="15">
      <c r="A15" t="inlineStr">
        <is>
          <t>Meta</t>
        </is>
      </c>
      <c r="B15" t="inlineStr">
        <is>
          <t>Labs + Videos by Access sheet</t>
        </is>
      </c>
      <c r="C15" t="inlineStr">
        <is>
          <t>Tailored to your learning style and subscriptions</t>
        </is>
      </c>
      <c r="D15" t="inlineStr">
        <is>
          <t>High</t>
        </is>
      </c>
      <c r="F15" t="inlineStr">
        <is>
          <t>Use as your main resource-selection sheet</t>
        </is>
      </c>
      <c r="G15" t="inlineStr">
        <is>
          <t>Added in V12</t>
        </is>
      </c>
    </row>
    <row r="16">
      <c r="A16" t="inlineStr">
        <is>
          <t>Official Partner</t>
        </is>
      </c>
      <c r="B16" t="inlineStr">
        <is>
          <t>Microsoft Partner Skilling Hub</t>
        </is>
      </c>
      <c r="C16" t="inlineStr">
        <is>
          <t>Exclusive access to Microsoft Partner training, certifications, and resources</t>
        </is>
      </c>
      <c r="D16" t="inlineStr">
        <is>
          <t>High</t>
        </is>
      </c>
      <c r="E16" t="inlineStr">
        <is>
          <t>https://skilling-hub.com/en-US</t>
        </is>
      </c>
      <c r="F16" t="inlineStr">
        <is>
          <t>Use to find specialized partner-only learning paths for Azure and AI</t>
        </is>
      </c>
      <c r="G16" t="inlineStr">
        <is>
          <t>Requires Microsoft Partner Network login</t>
        </is>
      </c>
    </row>
    <row r="17">
      <c r="A17" t="inlineStr">
        <is>
          <t>Hands-on Lab</t>
        </is>
      </c>
      <c r="B17" t="inlineStr">
        <is>
          <t>Azure AI Gateway Labs (GitHub)</t>
        </is>
      </c>
      <c r="C17" t="inlineStr">
        <is>
          <t>Crucial for learning how to deploy APIM as an API Mediation Layer in front of Azure AI / ML models.</t>
        </is>
      </c>
      <c r="D17" t="inlineStr">
        <is>
          <t>High</t>
        </is>
      </c>
      <c r="E17" t="inlineStr">
        <is>
          <t>https://github.com/Azure-Samples/AI-Gateway/tree/main/labs/azure-ml-models</t>
        </is>
      </c>
      <c r="F17" t="inlineStr">
        <is>
          <t>Complete in Week 6 to understand zero-trust AI tooling.</t>
        </is>
      </c>
      <c r="G17" t="inlineStr">
        <is>
          <t>Official Azure Samples Repo</t>
        </is>
      </c>
    </row>
    <row r="18">
      <c r="A18" t="inlineStr">
        <is>
          <t>Official Azure Ref Arch</t>
        </is>
      </c>
      <c r="B18" t="inlineStr">
        <is>
          <t>Azure OpenAI Landing Zone</t>
        </is>
      </c>
      <c r="C18" t="inlineStr">
        <is>
          <t>The defining enterprise architecture for deploying secure, VNET-managed OpenAI models.</t>
        </is>
      </c>
      <c r="D18" t="inlineStr">
        <is>
          <t>High</t>
        </is>
      </c>
      <c r="E18" t="inlineStr">
        <is>
          <t>https://github.com/Azure/azure-openai-landing-zone</t>
        </is>
      </c>
      <c r="F18" t="inlineStr">
        <is>
          <t>Study in Week 1 for enterprise framework basics</t>
        </is>
      </c>
      <c r="G18" t="inlineStr">
        <is>
          <t>GitHub Microsoft Official</t>
        </is>
      </c>
    </row>
    <row r="19">
      <c r="A19" t="inlineStr">
        <is>
          <t>Official Azure Ref Arch</t>
        </is>
      </c>
      <c r="B19" t="inlineStr">
        <is>
          <t>Azure Search OpenAI Demo (Enterprise RAG)</t>
        </is>
      </c>
      <c r="C19" t="inlineStr">
        <is>
          <t>The industry-standard RAG accelerator used in thousands of enterprise production systems.</t>
        </is>
      </c>
      <c r="D19" t="inlineStr">
        <is>
          <t>High</t>
        </is>
      </c>
      <c r="E19" t="inlineStr">
        <is>
          <t>https://github.com/Azure-Samples/azure-search-openai-demo</t>
        </is>
      </c>
      <c r="F19" t="inlineStr">
        <is>
          <t>Week 3 core grounding study</t>
        </is>
      </c>
      <c r="G19" t="inlineStr">
        <is>
          <t>GitHub Microsoft Official</t>
        </is>
      </c>
    </row>
    <row r="20">
      <c r="A20" t="inlineStr">
        <is>
          <t>Official Azure Ref Arch</t>
        </is>
      </c>
      <c r="B20" t="inlineStr">
        <is>
          <t>Semantic Kernel Multi-Agents</t>
        </is>
      </c>
      <c r="C20" t="inlineStr">
        <is>
          <t>The definitive code examples for replacing monolithic prompts with coordinator/worker orchestration.</t>
        </is>
      </c>
      <c r="D20" t="inlineStr">
        <is>
          <t>High</t>
        </is>
      </c>
      <c r="E20" t="inlineStr">
        <is>
          <t>https://github.com/microsoft/skmultiagents</t>
        </is>
      </c>
      <c r="F20" t="inlineStr">
        <is>
          <t>Week 4 orchestration study</t>
        </is>
      </c>
      <c r="G20" t="inlineStr">
        <is>
          <t>GitHub Microsoft Official</t>
        </is>
      </c>
    </row>
    <row r="21">
      <c r="A21" t="inlineStr">
        <is>
          <t>Official Azure Ref Arch</t>
        </is>
      </c>
      <c r="B21" t="inlineStr">
        <is>
          <t>Multi-Agent Doc Research (SK + AutoGen)</t>
        </is>
      </c>
      <c r="C21" t="inlineStr">
        <is>
          <t>Showcases how to merge Semantic Kernel and AutoGen into a deep-research magnetic pattern.</t>
        </is>
      </c>
      <c r="D21" t="inlineStr">
        <is>
          <t>Medium</t>
        </is>
      </c>
      <c r="E21" t="inlineStr">
        <is>
          <t>https://github.com/Azure/multi-agent-doc-research</t>
        </is>
      </c>
      <c r="F21" t="inlineStr">
        <is>
          <t>Week 4 advanced orchestration study</t>
        </is>
      </c>
      <c r="G21" t="inlineStr">
        <is>
          <t>GitHub Microsoft Official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4.25"/>
  <cols>
    <col width="10" customWidth="1" min="1" max="1"/>
    <col width="26" customWidth="1" min="2" max="2"/>
    <col width="30" customWidth="1" min="3" max="3"/>
    <col width="42" customWidth="1" min="4" max="4"/>
    <col width="38" customWidth="1" min="5" max="5"/>
    <col width="34" customWidth="1" min="6" max="6"/>
    <col width="28" customWidth="1" min="7" max="7"/>
    <col width="16" customWidth="1" min="8" max="8"/>
    <col width="12" customWidth="1" min="9" max="10"/>
    <col width="18" customWidth="1" min="11" max="11"/>
    <col width="30" customWidth="1" min="12" max="12"/>
    <col width="22" customWidth="1" min="13" max="13"/>
  </cols>
  <sheetData>
    <row r="1" ht="28.5" customHeight="1">
      <c r="A1" s="10" t="inlineStr">
        <is>
          <t>Week</t>
        </is>
      </c>
      <c r="B1" s="10" t="inlineStr">
        <is>
          <t>Focus</t>
        </is>
      </c>
      <c r="C1" s="10" t="inlineStr">
        <is>
          <t>Primary Outcome</t>
        </is>
      </c>
      <c r="D1" s="10" t="inlineStr">
        <is>
          <t>Videos / Courses</t>
        </is>
      </c>
      <c r="E1" s="10" t="inlineStr">
        <is>
          <t>Labs / Hands-on</t>
        </is>
      </c>
      <c r="F1" s="10" t="inlineStr">
        <is>
          <t>Docs / Reading</t>
        </is>
      </c>
      <c r="G1" s="10" t="inlineStr">
        <is>
          <t>Deliverable</t>
        </is>
      </c>
      <c r="H1" s="10" t="inlineStr">
        <is>
          <t>Status</t>
        </is>
      </c>
      <c r="I1" s="10" t="inlineStr">
        <is>
          <t>Hours Target</t>
        </is>
      </c>
      <c r="J1" s="10" t="inlineStr">
        <is>
          <t>Actual Hours</t>
        </is>
      </c>
      <c r="K1" s="10" t="inlineStr">
        <is>
          <t>Readiness Score (1-5)</t>
        </is>
      </c>
      <c r="L1" s="10" t="inlineStr">
        <is>
          <t>Why this matters for AB-100</t>
        </is>
      </c>
      <c r="M1" s="10" t="inlineStr">
        <is>
          <t>Career Value</t>
        </is>
      </c>
    </row>
    <row r="2" ht="42.75" customHeight="1">
      <c r="A2" s="6" t="inlineStr">
        <is>
          <t>Week 1</t>
        </is>
      </c>
      <c r="B2" s="6" t="inlineStr">
        <is>
          <t>Exam map + business outcomes + Foundry basics</t>
        </is>
      </c>
      <c r="C2" s="6" t="inlineStr">
        <is>
          <t>Understand exam scope, business-planning lens, and Microsoft Foundry landscape</t>
        </is>
      </c>
      <c r="D2" s="6" t="inlineStr">
        <is>
          <t>AB-100 study guide; AB-100T00 overview; Level Up intro modules</t>
        </is>
      </c>
      <c r="E2" s="6" t="inlineStr">
        <is>
          <t>Set up Azure subscription, Foundry access, and create first ROI use case</t>
        </is>
      </c>
      <c r="F2" s="6" t="inlineStr">
        <is>
          <t>AB-100 certification page; Foundry docs</t>
        </is>
      </c>
      <c r="G2" s="6" t="inlineStr">
        <is>
          <t>Study notes + 1 ROI use case + environment ready</t>
        </is>
      </c>
      <c r="H2" s="6" t="inlineStr">
        <is>
          <t>Not Started</t>
        </is>
      </c>
      <c r="I2" s="6" t="n">
        <v>8</v>
      </c>
      <c r="J2" s="6" t="n"/>
      <c r="K2" s="6" t="n"/>
      <c r="L2" s="6" t="inlineStr">
        <is>
          <t>Starts with plan-domain coverage, not just technical setup.</t>
        </is>
      </c>
      <c r="M2" s="6" t="inlineStr">
        <is>
          <t>Exam-heavy + practical</t>
        </is>
      </c>
    </row>
    <row r="3" ht="42.75" customHeight="1">
      <c r="A3" s="6" t="inlineStr">
        <is>
          <t>Week 2</t>
        </is>
      </c>
      <c r="B3" s="6" t="inlineStr">
        <is>
          <t>Copilot Studio + business apps + first agent</t>
        </is>
      </c>
      <c r="C3" s="6" t="inlineStr">
        <is>
          <t>Understand where Copilot Studio / Power Platform fit and build first working agent</t>
        </is>
      </c>
      <c r="D3" s="6" t="inlineStr">
        <is>
          <t>Copilot Studio docs; Level Up agent modules</t>
        </is>
      </c>
      <c r="E3" s="6" t="inlineStr">
        <is>
          <t>Create simple SK agent and map one business scenario to Copilot Studio vs custom Azure AI</t>
        </is>
      </c>
      <c r="F3" s="6" t="inlineStr">
        <is>
          <t>Copilot Studio docs; Power Platform docs; SK quick start</t>
        </is>
      </c>
      <c r="G3" s="6" t="inlineStr">
        <is>
          <t>Scenario decision matrix + first agent demo</t>
        </is>
      </c>
      <c r="H3" s="6" t="inlineStr">
        <is>
          <t>Not Started</t>
        </is>
      </c>
      <c r="I3" s="6" t="n">
        <v>8</v>
      </c>
      <c r="J3" s="6" t="n"/>
      <c r="K3" s="6" t="n"/>
      <c r="L3" s="6" t="inlineStr">
        <is>
          <t>Adds missing business-app architecture coverage.</t>
        </is>
      </c>
      <c r="M3" s="6" t="inlineStr">
        <is>
          <t>High interview value</t>
        </is>
      </c>
    </row>
    <row r="4" ht="28.5" customHeight="1">
      <c r="A4" s="6" t="inlineStr">
        <is>
          <t>Week 3</t>
        </is>
      </c>
      <c r="B4" s="6" t="inlineStr">
        <is>
          <t>RAG design + Dynamics / Power Platform trade-offs</t>
        </is>
      </c>
      <c r="C4" s="6" t="inlineStr">
        <is>
          <t>Build grounded assistant and compare platform choices</t>
        </is>
      </c>
      <c r="D4" s="6" t="inlineStr">
        <is>
          <t>Level Up RAG content</t>
        </is>
      </c>
      <c r="E4" s="6" t="inlineStr">
        <is>
          <t>Create embeddings + search flow and document 3 use-case trade-offs</t>
        </is>
      </c>
      <c r="F4" s="6" t="inlineStr">
        <is>
          <t>Foundry docs; Dynamics docs; Power Platform docs</t>
        </is>
      </c>
      <c r="G4" s="6" t="inlineStr">
        <is>
          <t>Enterprise RAG v1 + trade-off notes</t>
        </is>
      </c>
      <c r="H4" s="6" t="inlineStr">
        <is>
          <t>Not Started</t>
        </is>
      </c>
      <c r="I4" s="6" t="n">
        <v>10</v>
      </c>
      <c r="J4" s="6" t="n"/>
      <c r="K4" s="6" t="n"/>
      <c r="L4" s="6" t="inlineStr">
        <is>
          <t>Combines design-depth with business-solution selection.</t>
        </is>
      </c>
      <c r="M4" s="6" t="inlineStr">
        <is>
          <t>High interview value</t>
        </is>
      </c>
    </row>
    <row r="5" ht="28.5" customHeight="1">
      <c r="A5" s="6" t="inlineStr">
        <is>
          <t>Week 4</t>
        </is>
      </c>
      <c r="B5" s="6" t="inlineStr">
        <is>
          <t>Applied Skills prep</t>
        </is>
      </c>
      <c r="C5" s="6" t="inlineStr">
        <is>
          <t>Get comfortable with Microsoft’s practical lab flow</t>
        </is>
      </c>
      <c r="D5" s="6" t="inlineStr">
        <is>
          <t>Applied Skills overview; optional Udemy reinforcement</t>
        </is>
      </c>
      <c r="E5" s="6" t="inlineStr">
        <is>
          <t>Run core Applied Skills lab end to end</t>
        </is>
      </c>
      <c r="F5" s="6" t="inlineStr">
        <is>
          <t>APL-2005 study guide; Learn path for AI agents with Semantic Kernel SDK</t>
        </is>
      </c>
      <c r="G5" s="6" t="inlineStr">
        <is>
          <t>Lab notes + gaps list</t>
        </is>
      </c>
      <c r="H5" s="6" t="inlineStr">
        <is>
          <t>Not Started</t>
        </is>
      </c>
      <c r="I5" s="6" t="n">
        <v>8</v>
      </c>
      <c r="J5" s="6" t="n"/>
      <c r="K5" s="6" t="n"/>
      <c r="L5" s="6" t="inlineStr">
        <is>
          <t>Practical accelerator, not full exam proxy.</t>
        </is>
      </c>
      <c r="M5" s="6" t="inlineStr">
        <is>
          <t>Build credibility</t>
        </is>
      </c>
    </row>
    <row r="6" ht="42.75" customHeight="1">
      <c r="A6" s="6" t="inlineStr">
        <is>
          <t>Week 5</t>
        </is>
      </c>
      <c r="B6" s="6" t="inlineStr">
        <is>
          <t>Multi-agent + MCP + A2A</t>
        </is>
      </c>
      <c r="C6" s="6" t="inlineStr">
        <is>
          <t>Design coordinator + worker patterns and understand interoperability</t>
        </is>
      </c>
      <c r="D6" s="6" t="inlineStr">
        <is>
          <t>Level Up orchestration modules</t>
        </is>
      </c>
      <c r="E6" s="6" t="inlineStr">
        <is>
          <t>Build a multi-agent workflow and write MCP/A2A notes</t>
        </is>
      </c>
      <c r="F6" s="6" t="inlineStr">
        <is>
          <t>Semantic Kernel samples; MCP/A2A references</t>
        </is>
      </c>
      <c r="G6" s="6" t="inlineStr">
        <is>
          <t>Multi-agent demo + standards note</t>
        </is>
      </c>
      <c r="H6" s="6" t="inlineStr">
        <is>
          <t>Not Started</t>
        </is>
      </c>
      <c r="I6" s="6" t="n">
        <v>10</v>
      </c>
      <c r="J6" s="6" t="n"/>
      <c r="K6" s="6" t="n"/>
      <c r="L6" s="6" t="inlineStr">
        <is>
          <t>Covers multi-agent and interoperability concepts.</t>
        </is>
      </c>
      <c r="M6" s="6" t="inlineStr">
        <is>
          <t>Thought leadership + exam</t>
        </is>
      </c>
    </row>
    <row r="7" ht="28.5" customHeight="1">
      <c r="A7" s="6" t="inlineStr">
        <is>
          <t>Week 6</t>
        </is>
      </c>
      <c r="B7" s="6" t="inlineStr">
        <is>
          <t>Enterprise integration + ALM + environment strategy</t>
        </is>
      </c>
      <c r="C7" s="6" t="inlineStr">
        <is>
          <t>Connect agents to tools and define dev/test/prod strategy</t>
        </is>
      </c>
      <c r="D7" s="6" t="inlineStr">
        <is>
          <t>Level Up integration content</t>
        </is>
      </c>
      <c r="E7" s="6" t="inlineStr">
        <is>
          <t>Integrate API/function tool and create environment promotion plan</t>
        </is>
      </c>
      <c r="F7" s="6" t="inlineStr">
        <is>
          <t>Foundry docs + your architecture standards</t>
        </is>
      </c>
      <c r="G7" s="6" t="inlineStr">
        <is>
          <t>Integration demo + ALM strategy pack</t>
        </is>
      </c>
      <c r="H7" s="6" t="inlineStr">
        <is>
          <t>Not Started</t>
        </is>
      </c>
      <c r="I7" s="6" t="n">
        <v>8</v>
      </c>
      <c r="J7" s="6" t="n"/>
      <c r="K7" s="6" t="n"/>
      <c r="L7" s="6" t="inlineStr">
        <is>
          <t>Directly fills ALM/environment gaps.</t>
        </is>
      </c>
      <c r="M7" s="6" t="inlineStr">
        <is>
          <t>High interview value</t>
        </is>
      </c>
    </row>
    <row r="8" ht="28.5" customHeight="1">
      <c r="A8" s="6" t="inlineStr">
        <is>
          <t>Week 7</t>
        </is>
      </c>
      <c r="B8" s="6" t="inlineStr">
        <is>
          <t>Security, governance, telemetry</t>
        </is>
      </c>
      <c r="C8" s="6" t="inlineStr">
        <is>
          <t>Make the solution enterprise-safe and measurable</t>
        </is>
      </c>
      <c r="D8" s="6" t="inlineStr">
        <is>
          <t>Rewatch core architecture modules</t>
        </is>
      </c>
      <c r="E8" s="6" t="inlineStr">
        <is>
          <t>Add Key Vault, MI, RBAC, monitoring, safety controls</t>
        </is>
      </c>
      <c r="F8" s="6" t="inlineStr">
        <is>
          <t>Foundry docs; Azure security docs</t>
        </is>
      </c>
      <c r="G8" s="6" t="inlineStr">
        <is>
          <t>Secure architecture pack + telemetry notes</t>
        </is>
      </c>
      <c r="H8" s="6" t="inlineStr">
        <is>
          <t>Not Started</t>
        </is>
      </c>
      <c r="I8" s="6" t="n">
        <v>8</v>
      </c>
      <c r="J8" s="6" t="n"/>
      <c r="K8" s="6" t="n"/>
      <c r="L8" s="6" t="inlineStr">
        <is>
          <t>Supports deploy-domain and governance coverage.</t>
        </is>
      </c>
      <c r="M8" s="6" t="inlineStr">
        <is>
          <t>Interview + exam</t>
        </is>
      </c>
    </row>
    <row r="9" ht="42.75" customHeight="1">
      <c r="A9" s="6" t="inlineStr">
        <is>
          <t>Week 8</t>
        </is>
      </c>
      <c r="B9" s="6" t="inlineStr">
        <is>
          <t>Responsible AI + adoption + support model</t>
        </is>
      </c>
      <c r="C9" s="6" t="inlineStr">
        <is>
          <t>Add operational readiness, evaluation, and change lens</t>
        </is>
      </c>
      <c r="D9" s="6" t="inlineStr">
        <is>
          <t>Official guidance as needed</t>
        </is>
      </c>
      <c r="E9" s="6" t="inlineStr">
        <is>
          <t>Define support, monitoring, escalation, adoption risks, and evaluation scorecard</t>
        </is>
      </c>
      <c r="F9" s="6" t="inlineStr">
        <is>
          <t>Certification page + governance docs</t>
        </is>
      </c>
      <c r="G9" s="6" t="inlineStr">
        <is>
          <t>Operating model note + risk log + evaluation scorecard</t>
        </is>
      </c>
      <c r="H9" s="6" t="inlineStr">
        <is>
          <t>Not Started</t>
        </is>
      </c>
      <c r="I9" s="6" t="n">
        <v>8</v>
      </c>
      <c r="J9" s="6" t="n"/>
      <c r="K9" s="6" t="n"/>
      <c r="L9" s="6" t="inlineStr">
        <is>
          <t>AB-100 expects production and business readiness, not only model output.</t>
        </is>
      </c>
      <c r="M9" s="6" t="inlineStr">
        <is>
          <t>Executive + exam</t>
        </is>
      </c>
    </row>
    <row r="10" ht="42.75" customHeight="1">
      <c r="A10" s="6" t="inlineStr">
        <is>
          <t>Week 9</t>
        </is>
      </c>
      <c r="B10" s="6" t="inlineStr">
        <is>
          <t>Capstone architecture</t>
        </is>
      </c>
      <c r="C10" s="6" t="inlineStr">
        <is>
          <t>Bring the whole platform together</t>
        </is>
      </c>
      <c r="D10" s="6" t="inlineStr">
        <is>
          <t>Minimal video. Mostly build and review.</t>
        </is>
      </c>
      <c r="E10" s="6" t="inlineStr">
        <is>
          <t>Combine RAG + agents + tools + security + ROI + ALM + ADRs into one capstone</t>
        </is>
      </c>
      <c r="F10" s="6" t="inlineStr">
        <is>
          <t>AB-100 study guide revisit</t>
        </is>
      </c>
      <c r="G10" s="6" t="inlineStr">
        <is>
          <t>Capstone repo structure + architecture diagram + business case + ADR pack</t>
        </is>
      </c>
      <c r="H10" s="6" t="inlineStr">
        <is>
          <t>Not Started</t>
        </is>
      </c>
      <c r="I10" s="6" t="n">
        <v>10</v>
      </c>
      <c r="J10" s="6" t="n"/>
      <c r="K10" s="6" t="n"/>
      <c r="L10" s="6" t="inlineStr">
        <is>
          <t>Synthesizes all 3 exam domains.</t>
        </is>
      </c>
      <c r="M10" s="6" t="inlineStr">
        <is>
          <t>Highest value</t>
        </is>
      </c>
    </row>
    <row r="11" ht="28.5" customHeight="1">
      <c r="A11" s="6" t="inlineStr">
        <is>
          <t>Week 10</t>
        </is>
      </c>
      <c r="B11" s="6" t="inlineStr">
        <is>
          <t>Revision and exam booking decision</t>
        </is>
      </c>
      <c r="C11" s="6" t="inlineStr">
        <is>
          <t>Close gaps and prepare to book exam</t>
        </is>
      </c>
      <c r="D11" s="6" t="inlineStr">
        <is>
          <t>Review weak areas only</t>
        </is>
      </c>
      <c r="E11" s="6" t="inlineStr">
        <is>
          <t>Refactor top labs and revisit domain gaps</t>
        </is>
      </c>
      <c r="F11" s="6" t="inlineStr">
        <is>
          <t>AB-100 study guide; AB-100T00 summaries</t>
        </is>
      </c>
      <c r="G11" s="6" t="inlineStr">
        <is>
          <t>Go/No-Go decision + final notes + content backlog</t>
        </is>
      </c>
      <c r="H11" s="6" t="inlineStr">
        <is>
          <t>Not Started</t>
        </is>
      </c>
      <c r="I11" s="6" t="n">
        <v>6</v>
      </c>
      <c r="J11" s="6" t="n"/>
      <c r="K11" s="6" t="n"/>
      <c r="L11" s="6" t="inlineStr">
        <is>
          <t>Forces explicit gap closure before booking.</t>
        </is>
      </c>
      <c r="M11" s="6" t="inlineStr">
        <is>
          <t>Exam readiness</t>
        </is>
      </c>
    </row>
  </sheetData>
  <dataValidations count="1">
    <dataValidation sqref="H2:H100" showDropDown="0" showInputMessage="0" showErrorMessage="0" allowBlank="1" type="list">
      <formula1>"Not Started,In Progress,Completed,Blocked"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A1" sqref="A1"/>
    </sheetView>
  </sheetViews>
  <sheetFormatPr baseColWidth="8" defaultRowHeight="14.25"/>
  <cols>
    <col width="26" customWidth="1" min="1" max="1"/>
    <col width="34" customWidth="1" min="2" max="2"/>
    <col width="18" customWidth="1" min="3" max="3"/>
    <col width="28" customWidth="1" min="4" max="4"/>
    <col width="32" customWidth="1" min="5" max="5"/>
    <col width="14" customWidth="1" min="6" max="7"/>
    <col width="34" customWidth="1" min="8" max="8"/>
  </cols>
  <sheetData>
    <row r="1" ht="28.5" customHeight="1">
      <c r="A1" s="10" t="inlineStr">
        <is>
          <t>Domain</t>
        </is>
      </c>
      <c r="B1" s="10" t="inlineStr">
        <is>
          <t>Subtopic</t>
        </is>
      </c>
      <c r="C1" s="10" t="inlineStr">
        <is>
          <t>Current Confidence (1-5)</t>
        </is>
      </c>
      <c r="D1" s="10" t="inlineStr">
        <is>
          <t>Evidence / Resource</t>
        </is>
      </c>
      <c r="E1" s="10" t="inlineStr">
        <is>
          <t>Mapped Workbook Item</t>
        </is>
      </c>
      <c r="F1" s="10" t="inlineStr">
        <is>
          <t>Last Reviewed</t>
        </is>
      </c>
      <c r="G1" s="10" t="inlineStr">
        <is>
          <t>Gap Status</t>
        </is>
      </c>
      <c r="H1" s="10" t="inlineStr">
        <is>
          <t>Notes</t>
        </is>
      </c>
    </row>
    <row r="2" ht="28.5" customHeight="1">
      <c r="A2" s="6" t="inlineStr">
        <is>
          <t>Plan AI-powered business solutions</t>
        </is>
      </c>
      <c r="B2" s="6" t="inlineStr">
        <is>
          <t>Use-case selection and prioritization</t>
        </is>
      </c>
      <c r="C2" s="6" t="n"/>
      <c r="D2" s="6" t="inlineStr">
        <is>
          <t>AB-100 study guide</t>
        </is>
      </c>
      <c r="E2" s="6" t="inlineStr">
        <is>
          <t>Business Case &amp; ROI</t>
        </is>
      </c>
      <c r="F2" s="6" t="n"/>
      <c r="G2" s="6" t="inlineStr">
        <is>
          <t>Open</t>
        </is>
      </c>
      <c r="H2" s="6" t="inlineStr">
        <is>
          <t>Start with business objectives, process pain, measurable KPIs</t>
        </is>
      </c>
    </row>
    <row r="3" ht="28.5" customHeight="1">
      <c r="A3" s="6" t="inlineStr">
        <is>
          <t>Plan AI-powered business solutions</t>
        </is>
      </c>
      <c r="B3" s="6" t="inlineStr">
        <is>
          <t>ROI, KPI, and success metrics</t>
        </is>
      </c>
      <c r="C3" s="6" t="n"/>
      <c r="D3" s="6" t="inlineStr">
        <is>
          <t>AB-100 study guide</t>
        </is>
      </c>
      <c r="E3" s="6" t="inlineStr">
        <is>
          <t>Business Case &amp; ROI</t>
        </is>
      </c>
      <c r="F3" s="6" t="n"/>
      <c r="G3" s="6" t="inlineStr">
        <is>
          <t>Open</t>
        </is>
      </c>
      <c r="H3" s="6" t="inlineStr">
        <is>
          <t>Add baseline vs target assumptions</t>
        </is>
      </c>
    </row>
    <row r="4" ht="28.5" customHeight="1">
      <c r="A4" s="6" t="inlineStr">
        <is>
          <t>Plan AI-powered business solutions</t>
        </is>
      </c>
      <c r="B4" s="6" t="inlineStr">
        <is>
          <t>Platform choice: Copilot Studio vs custom Azure AI</t>
        </is>
      </c>
      <c r="C4" s="6" t="n"/>
      <c r="D4" s="6" t="inlineStr">
        <is>
          <t>AB-100 study guide</t>
        </is>
      </c>
      <c r="E4" s="6" t="inlineStr">
        <is>
          <t>Business Apps Coverage</t>
        </is>
      </c>
      <c r="F4" s="6" t="n"/>
      <c r="G4" s="6" t="inlineStr">
        <is>
          <t>Open</t>
        </is>
      </c>
      <c r="H4" s="6" t="inlineStr">
        <is>
          <t>Capture trade-offs and decision criteria</t>
        </is>
      </c>
    </row>
    <row r="5" ht="28.5" customHeight="1">
      <c r="A5" s="6" t="inlineStr">
        <is>
          <t>Design AI-powered business solutions</t>
        </is>
      </c>
      <c r="B5" s="6" t="inlineStr">
        <is>
          <t>Agentic-first and multi-agent architecture</t>
        </is>
      </c>
      <c r="C5" s="6" t="n"/>
      <c r="D5" s="6" t="inlineStr">
        <is>
          <t>Certification page + Level Up</t>
        </is>
      </c>
      <c r="E5" s="6" t="inlineStr">
        <is>
          <t>Project Tracker items 4 and 8</t>
        </is>
      </c>
      <c r="F5" s="6" t="n"/>
      <c r="G5" s="6" t="inlineStr">
        <is>
          <t>Open</t>
        </is>
      </c>
      <c r="H5" s="6" t="inlineStr">
        <is>
          <t>Document coordinator, worker, and tool roles</t>
        </is>
      </c>
    </row>
    <row r="6" ht="28.5" customHeight="1">
      <c r="A6" s="6" t="inlineStr">
        <is>
          <t>Design AI-powered business solutions</t>
        </is>
      </c>
      <c r="B6" s="6" t="inlineStr">
        <is>
          <t>Business apps integration</t>
        </is>
      </c>
      <c r="C6" s="6" t="n"/>
      <c r="D6" s="6" t="inlineStr">
        <is>
          <t>Certification page</t>
        </is>
      </c>
      <c r="E6" s="6" t="inlineStr">
        <is>
          <t>Business Apps Coverage</t>
        </is>
      </c>
      <c r="F6" s="6" t="n"/>
      <c r="G6" s="6" t="inlineStr">
        <is>
          <t>Open</t>
        </is>
      </c>
      <c r="H6" s="6" t="inlineStr">
        <is>
          <t>Need dedicated Microsoft business app coverage</t>
        </is>
      </c>
    </row>
    <row r="7" ht="28.5" customHeight="1">
      <c r="A7" s="6" t="inlineStr">
        <is>
          <t>Design AI-powered business solutions</t>
        </is>
      </c>
      <c r="B7" s="6" t="inlineStr">
        <is>
          <t>MCP and Agent2Agent patterns</t>
        </is>
      </c>
      <c r="C7" s="6" t="n"/>
      <c r="D7" s="6" t="inlineStr">
        <is>
          <t>Certification page</t>
        </is>
      </c>
      <c r="E7" s="6" t="inlineStr">
        <is>
          <t>Business Apps Coverage / Project Tracker item 11</t>
        </is>
      </c>
      <c r="F7" s="6" t="n"/>
      <c r="G7" s="6" t="inlineStr">
        <is>
          <t>Open</t>
        </is>
      </c>
      <c r="H7" s="6" t="inlineStr">
        <is>
          <t>Summarize standards and when they matter</t>
        </is>
      </c>
    </row>
    <row r="8" ht="28.5" customHeight="1">
      <c r="A8" s="6" t="inlineStr">
        <is>
          <t>Design AI-powered business solutions</t>
        </is>
      </c>
      <c r="B8" s="6" t="inlineStr">
        <is>
          <t>Security, governance, responsible AI</t>
        </is>
      </c>
      <c r="C8" s="6" t="n"/>
      <c r="D8" s="6" t="inlineStr">
        <is>
          <t>Foundry docs + workbook</t>
        </is>
      </c>
      <c r="E8" s="6" t="inlineStr">
        <is>
          <t>Project Tracker items 6 and 7</t>
        </is>
      </c>
      <c r="F8" s="6" t="n"/>
      <c r="G8" s="6" t="inlineStr">
        <is>
          <t>In Progress</t>
        </is>
      </c>
      <c r="H8" s="6" t="inlineStr">
        <is>
          <t>Good current coverage, needs AB-100 framing</t>
        </is>
      </c>
    </row>
    <row r="9" ht="28.5" customHeight="1">
      <c r="A9" s="6" t="inlineStr">
        <is>
          <t>Deploy AI-powered business solutions</t>
        </is>
      </c>
      <c r="B9" s="6" t="inlineStr">
        <is>
          <t>ALM and environment strategy</t>
        </is>
      </c>
      <c r="C9" s="6" t="n"/>
      <c r="D9" s="6" t="inlineStr">
        <is>
          <t>Certification page</t>
        </is>
      </c>
      <c r="E9" s="6" t="inlineStr">
        <is>
          <t>Project Tracker item 12</t>
        </is>
      </c>
      <c r="F9" s="6" t="n"/>
      <c r="G9" s="6" t="inlineStr">
        <is>
          <t>Open</t>
        </is>
      </c>
      <c r="H9" s="6" t="inlineStr">
        <is>
          <t>Dev/test/prod, release, rollback, isolation</t>
        </is>
      </c>
    </row>
    <row r="10" ht="28.5" customHeight="1">
      <c r="A10" s="6" t="inlineStr">
        <is>
          <t>Deploy AI-powered business solutions</t>
        </is>
      </c>
      <c r="B10" s="6" t="inlineStr">
        <is>
          <t>Telemetry, monitoring, adoption, support model</t>
        </is>
      </c>
      <c r="C10" s="6" t="n"/>
      <c r="D10" s="6" t="inlineStr">
        <is>
          <t>Certification page</t>
        </is>
      </c>
      <c r="E10" s="6" t="inlineStr">
        <is>
          <t>Week 8 plan</t>
        </is>
      </c>
      <c r="F10" s="6" t="n"/>
      <c r="G10" s="6" t="inlineStr">
        <is>
          <t>Open</t>
        </is>
      </c>
      <c r="H10" s="6" t="inlineStr">
        <is>
          <t>Need operating model and service ownership notes</t>
        </is>
      </c>
    </row>
  </sheetData>
  <dataValidations count="2">
    <dataValidation sqref="C2:C100" showDropDown="0" showInputMessage="0" showErrorMessage="0" allowBlank="1" type="whole">
      <formula1>1</formula1>
      <formula2>5</formula2>
    </dataValidation>
    <dataValidation sqref="G2:G100" showDropDown="0" showInputMessage="0" showErrorMessage="0" allowBlank="1" type="list">
      <formula1>"Open,In Progress,Strong"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4.25"/>
  <cols>
    <col width="18" customWidth="1" min="1" max="1"/>
    <col width="34" customWidth="1" min="2" max="3"/>
    <col width="28" customWidth="1" min="4" max="4"/>
    <col width="52" customWidth="1" min="5" max="5"/>
    <col width="14" customWidth="1" min="6" max="6"/>
    <col width="24" customWidth="1" min="7" max="7"/>
  </cols>
  <sheetData>
    <row r="1">
      <c r="A1" s="10" t="inlineStr">
        <is>
          <t>Area</t>
        </is>
      </c>
      <c r="B1" s="10" t="inlineStr">
        <is>
          <t>Why AB-100 Cares</t>
        </is>
      </c>
      <c r="C1" s="10" t="inlineStr">
        <is>
          <t>What You Should Learn</t>
        </is>
      </c>
      <c r="D1" s="10" t="inlineStr">
        <is>
          <t>Recommended Resource</t>
        </is>
      </c>
      <c r="E1" s="10" t="inlineStr">
        <is>
          <t>Actual URL</t>
        </is>
      </c>
      <c r="F1" s="10" t="inlineStr">
        <is>
          <t>Status</t>
        </is>
      </c>
      <c r="G1" s="10" t="inlineStr">
        <is>
          <t>Evidence Output</t>
        </is>
      </c>
    </row>
    <row r="2" ht="42.75" customHeight="1">
      <c r="A2" s="6" t="inlineStr">
        <is>
          <t>Copilot Studio</t>
        </is>
      </c>
      <c r="B2" s="6" t="inlineStr">
        <is>
          <t>The certification expects business-solution architecture across Microsoft AI business tooling.</t>
        </is>
      </c>
      <c r="C2" s="6" t="inlineStr">
        <is>
          <t>Understand agent creation model, actions, orchestration, business process scenarios, and governance basics.</t>
        </is>
      </c>
      <c r="D2" s="6" t="inlineStr">
        <is>
          <t>Microsoft Copilot Studio documentation</t>
        </is>
      </c>
      <c r="E2" s="7" t="inlineStr">
        <is>
          <t>https://learn.microsoft.com/en-us/microsoft-copilot-studio/</t>
        </is>
      </c>
      <c r="F2" s="6" t="inlineStr">
        <is>
          <t>Not Started</t>
        </is>
      </c>
      <c r="G2" s="6" t="inlineStr">
        <is>
          <t>One-page notes + scenario map</t>
        </is>
      </c>
    </row>
    <row r="3" ht="28.5" customHeight="1">
      <c r="A3" s="6" t="inlineStr">
        <is>
          <t>Power Platform</t>
        </is>
      </c>
      <c r="B3" s="6" t="inlineStr">
        <is>
          <t>Needed for solution-selection trade-offs in business-led automation.</t>
        </is>
      </c>
      <c r="C3" s="6" t="inlineStr">
        <is>
          <t>Know where Power Platform fits vs custom Azure AI build.</t>
        </is>
      </c>
      <c r="D3" s="6" t="inlineStr">
        <is>
          <t>Power Platform documentation</t>
        </is>
      </c>
      <c r="E3" s="7" t="inlineStr">
        <is>
          <t>https://learn.microsoft.com/en-us/power-platform/</t>
        </is>
      </c>
      <c r="F3" s="6" t="inlineStr">
        <is>
          <t>Not Started</t>
        </is>
      </c>
      <c r="G3" s="6" t="inlineStr">
        <is>
          <t>Decision matrix</t>
        </is>
      </c>
    </row>
    <row r="4" ht="28.5" customHeight="1">
      <c r="A4" s="6" t="inlineStr">
        <is>
          <t>Dynamics 365</t>
        </is>
      </c>
      <c r="B4" s="6" t="inlineStr">
        <is>
          <t>AB-100 audience profile expects awareness of business-app landscape.</t>
        </is>
      </c>
      <c r="C4" s="6" t="inlineStr">
        <is>
          <t>Understand common business processes and where agentic solutions attach.</t>
        </is>
      </c>
      <c r="D4" s="6" t="inlineStr">
        <is>
          <t>Dynamics 365 documentation</t>
        </is>
      </c>
      <c r="E4" s="7" t="inlineStr">
        <is>
          <t>https://learn.microsoft.com/en-us/dynamics365/</t>
        </is>
      </c>
      <c r="F4" s="6" t="inlineStr">
        <is>
          <t>Not Started</t>
        </is>
      </c>
      <c r="G4" s="6" t="inlineStr">
        <is>
          <t>Three business process examples</t>
        </is>
      </c>
    </row>
    <row r="5" ht="42.75" customHeight="1">
      <c r="A5" s="6" t="inlineStr">
        <is>
          <t>Foundry tools/models</t>
        </is>
      </c>
      <c r="B5" s="6" t="inlineStr">
        <is>
          <t>Core exam platform layer for agentic solutions.</t>
        </is>
      </c>
      <c r="C5" s="6" t="inlineStr">
        <is>
          <t>Know projects, models, agent tooling, safety, evaluation, and deployment basics.</t>
        </is>
      </c>
      <c r="D5" s="6" t="inlineStr">
        <is>
          <t>Microsoft Foundry documentation</t>
        </is>
      </c>
      <c r="E5" s="7" t="inlineStr">
        <is>
          <t>https://learn.microsoft.com/en-us/azure/foundry/</t>
        </is>
      </c>
      <c r="F5" s="6" t="inlineStr">
        <is>
          <t>In Progress</t>
        </is>
      </c>
      <c r="G5" s="6" t="inlineStr">
        <is>
          <t>Updated architecture notes</t>
        </is>
      </c>
    </row>
    <row r="6" ht="28.5" customHeight="1">
      <c r="A6" s="6" t="inlineStr">
        <is>
          <t>MCP</t>
        </is>
      </c>
      <c r="B6" s="6" t="inlineStr">
        <is>
          <t>Open protocol awareness is relevant for agent interoperability.</t>
        </is>
      </c>
      <c r="C6" s="6" t="inlineStr">
        <is>
          <t>Understand purpose, role, and integration considerations.</t>
        </is>
      </c>
      <c r="D6" s="6" t="inlineStr">
        <is>
          <t>Model Context Protocol site</t>
        </is>
      </c>
      <c r="E6" s="7" t="inlineStr">
        <is>
          <t>https://modelcontextprotocol.io/</t>
        </is>
      </c>
      <c r="F6" s="6" t="inlineStr">
        <is>
          <t>Not Started</t>
        </is>
      </c>
      <c r="G6" s="6" t="inlineStr">
        <is>
          <t>Reference architecture note</t>
        </is>
      </c>
    </row>
    <row r="7" ht="28.5" customHeight="1">
      <c r="A7" s="6" t="inlineStr">
        <is>
          <t>Agent2Agent (A2A)</t>
        </is>
      </c>
      <c r="B7" s="6" t="inlineStr">
        <is>
          <t>Useful for multi-agent interoperability discussions.</t>
        </is>
      </c>
      <c r="C7" s="6" t="inlineStr">
        <is>
          <t>Understand what A2A enables and when it matters.</t>
        </is>
      </c>
      <c r="D7" s="6" t="inlineStr">
        <is>
          <t>Google A2A GitHub</t>
        </is>
      </c>
      <c r="E7" s="7" t="inlineStr">
        <is>
          <t>https://github.com/google/A2A</t>
        </is>
      </c>
      <c r="F7" s="6" t="inlineStr">
        <is>
          <t>Not Started</t>
        </is>
      </c>
      <c r="G7" s="6" t="inlineStr">
        <is>
          <t>Summary note + trade-offs</t>
        </is>
      </c>
    </row>
  </sheetData>
  <dataValidations count="1">
    <dataValidation sqref="F2:F100" showDropDown="0" showInputMessage="0" showErrorMessage="0" allowBlank="1" type="list">
      <formula1>"Not Started,In Progress,Completed"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.25"/>
  <cols>
    <col width="24" customWidth="1" min="1" max="1"/>
    <col width="34" customWidth="1" min="2" max="2"/>
    <col width="16" customWidth="1" min="3" max="4"/>
    <col width="20" customWidth="1" min="5" max="5"/>
    <col width="16" customWidth="1" min="6" max="8"/>
    <col width="12" customWidth="1" min="9" max="9"/>
    <col width="16" customWidth="1" min="10" max="10"/>
    <col width="34" customWidth="1" min="11" max="11"/>
  </cols>
  <sheetData>
    <row r="1" ht="36" customHeight="1">
      <c r="A1" s="12" t="inlineStr">
        <is>
          <t>Business Case and ROI Tracker</t>
        </is>
      </c>
    </row>
    <row r="3">
      <c r="A3" s="3" t="inlineStr">
        <is>
          <t>Use Case</t>
        </is>
      </c>
      <c r="B3" s="3" t="inlineStr">
        <is>
          <t>Business Problem</t>
        </is>
      </c>
      <c r="C3" s="3" t="inlineStr">
        <is>
          <t>Baseline Metric</t>
        </is>
      </c>
      <c r="D3" s="3" t="inlineStr">
        <is>
          <t>Target Metric</t>
        </is>
      </c>
      <c r="E3" s="3" t="inlineStr">
        <is>
          <t>Assumption</t>
        </is>
      </c>
      <c r="F3" s="3" t="inlineStr">
        <is>
          <t>Annual Benefit</t>
        </is>
      </c>
      <c r="G3" s="3" t="inlineStr">
        <is>
          <t>Estimated Cost</t>
        </is>
      </c>
      <c r="H3" s="3" t="inlineStr">
        <is>
          <t>Net Benefit</t>
        </is>
      </c>
      <c r="I3" s="3" t="inlineStr">
        <is>
          <t>ROI %</t>
        </is>
      </c>
      <c r="J3" s="3" t="inlineStr">
        <is>
          <t>Adoption Risk</t>
        </is>
      </c>
      <c r="K3" s="3" t="inlineStr">
        <is>
          <t>Executive Summary</t>
        </is>
      </c>
    </row>
    <row r="4" ht="28.5" customHeight="1">
      <c r="A4" s="6" t="inlineStr">
        <is>
          <t>Customer support knowledge agent</t>
        </is>
      </c>
      <c r="B4" s="6" t="inlineStr">
        <is>
          <t>Agents spend too much time searching fragmented documents</t>
        </is>
      </c>
      <c r="C4" s="6" t="n">
        <v>1200</v>
      </c>
      <c r="D4" s="6" t="n">
        <v>800</v>
      </c>
      <c r="E4" s="6" t="inlineStr">
        <is>
          <t>Minutes saved per month</t>
        </is>
      </c>
      <c r="F4" s="6">
        <f>MAX(0,(C4-D4))*12</f>
        <v/>
      </c>
      <c r="G4" s="6" t="n">
        <v>25000</v>
      </c>
      <c r="H4" s="6">
        <f>F4-G4</f>
        <v/>
      </c>
      <c r="I4" s="13">
        <f>IF(G4=0,0,H4/G4)</f>
        <v/>
      </c>
      <c r="J4" s="6" t="inlineStr">
        <is>
          <t>Medium</t>
        </is>
      </c>
      <c r="K4" s="6" t="inlineStr">
        <is>
          <t>Reduce search time, improve response consistency, and shorten handling time.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25"/>
  <cols>
    <col width="34" customWidth="1" min="1" max="1"/>
    <col width="20" customWidth="1" min="2" max="2"/>
    <col width="16" customWidth="1" min="3" max="3"/>
  </cols>
  <sheetData>
    <row r="1" ht="36" customHeight="1">
      <c r="A1" s="12" t="inlineStr">
        <is>
          <t>AB-100 Exam Readiness Dashboard</t>
        </is>
      </c>
    </row>
    <row r="3">
      <c r="A3" s="3" t="inlineStr">
        <is>
          <t>Measure</t>
        </is>
      </c>
      <c r="B3" s="3" t="inlineStr">
        <is>
          <t>Value</t>
        </is>
      </c>
      <c r="C3" s="3" t="inlineStr">
        <is>
          <t>Target</t>
        </is>
      </c>
    </row>
    <row r="4">
      <c r="A4" s="6" t="inlineStr">
        <is>
          <t>Task completion</t>
        </is>
      </c>
      <c r="B4" s="6">
        <f>Dashboard!B8</f>
        <v/>
      </c>
      <c r="C4" s="6" t="inlineStr">
        <is>
          <t>&gt;= 70%</t>
        </is>
      </c>
    </row>
    <row r="5">
      <c r="A5" s="6" t="inlineStr">
        <is>
          <t>Weeks completed</t>
        </is>
      </c>
      <c r="B5" s="6">
        <f>Dashboard!B9</f>
        <v/>
      </c>
      <c r="C5" s="6" t="inlineStr">
        <is>
          <t>&gt;= 8</t>
        </is>
      </c>
    </row>
    <row r="6">
      <c r="A6" s="6" t="inlineStr">
        <is>
          <t>Average readiness score</t>
        </is>
      </c>
      <c r="B6" s="6">
        <f>Dashboard!B10</f>
        <v/>
      </c>
      <c r="C6" s="6" t="inlineStr">
        <is>
          <t>&gt;= 3.5</t>
        </is>
      </c>
    </row>
    <row r="7">
      <c r="A7" s="6" t="inlineStr">
        <is>
          <t>Total actual hours</t>
        </is>
      </c>
      <c r="B7" s="6">
        <f>Dashboard!B11</f>
        <v/>
      </c>
      <c r="C7" s="6" t="inlineStr">
        <is>
          <t>&gt;= 70</t>
        </is>
      </c>
    </row>
    <row r="8">
      <c r="A8" s="6" t="inlineStr">
        <is>
          <t>Open domain gaps</t>
        </is>
      </c>
      <c r="B8" s="6">
        <f>Dashboard!B12</f>
        <v/>
      </c>
      <c r="C8" s="6" t="inlineStr">
        <is>
          <t>&lt;= 2</t>
        </is>
      </c>
    </row>
    <row r="9">
      <c r="A9" s="6" t="inlineStr">
        <is>
          <t>Exam booking recommendation</t>
        </is>
      </c>
      <c r="B9" s="6">
        <f>Dashboard!B13</f>
        <v/>
      </c>
      <c r="C9" s="6" t="inlineStr">
        <is>
          <t>Ready to book</t>
        </is>
      </c>
    </row>
    <row r="11">
      <c r="A11" s="15" t="inlineStr">
        <is>
          <t>Audit note</t>
        </is>
      </c>
      <c r="B11" t="inlineStr">
        <is>
          <t>Thresholds tuned for practical execution, not perfection.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4.25"/>
  <cols>
    <col width="24" customWidth="1" min="1" max="1"/>
    <col width="34" customWidth="1" min="2" max="2"/>
    <col width="90" customWidth="1" min="3" max="3"/>
  </cols>
  <sheetData>
    <row r="1">
      <c r="A1" s="10" t="inlineStr">
        <is>
          <t>Item</t>
        </is>
      </c>
      <c r="B1" s="10" t="inlineStr">
        <is>
          <t>Recommendation</t>
        </is>
      </c>
      <c r="C1" s="10" t="inlineStr">
        <is>
          <t>Actual Value / URL</t>
        </is>
      </c>
    </row>
    <row r="2" ht="28.5" customHeight="1">
      <c r="A2" s="6" t="inlineStr">
        <is>
          <t>Primary GitHub repo name</t>
        </is>
      </c>
      <c r="B2" s="6" t="inlineStr">
        <is>
          <t>Use one main portfolio repo for all AB-100 labs</t>
        </is>
      </c>
      <c r="C2" s="6" t="inlineStr">
        <is>
          <t>azure-agentic-ai-architect-labs</t>
        </is>
      </c>
    </row>
    <row r="3" ht="28.5" customHeight="1">
      <c r="A3" s="6" t="inlineStr">
        <is>
          <t>Secondary repo name</t>
        </is>
      </c>
      <c r="B3" s="6" t="inlineStr">
        <is>
          <t>Only add later if you want a separate architecture-only repo</t>
        </is>
      </c>
      <c r="C3" s="6" t="inlineStr">
        <is>
          <t>azure-ai-architecture-patterns</t>
        </is>
      </c>
    </row>
    <row r="4" ht="28.5" customHeight="1">
      <c r="A4" s="6" t="inlineStr">
        <is>
          <t>GitHub description</t>
        </is>
      </c>
      <c r="B4" s="6" t="inlineStr">
        <is>
          <t>Paste this in repo description</t>
        </is>
      </c>
      <c r="C4" s="6" t="inlineStr">
        <is>
          <t>Hands-on labs and architecture patterns for building enterprise Agentic AI solutions on Azure using Microsoft Foundry, Azure OpenAI, Semantic Kernel, RAG, and secure enterprise design.</t>
        </is>
      </c>
    </row>
    <row r="5">
      <c r="A5" s="6" t="inlineStr">
        <is>
          <t>Suggested topics/tags</t>
        </is>
      </c>
      <c r="B5" s="6" t="inlineStr">
        <is>
          <t>Add these GitHub topics</t>
        </is>
      </c>
      <c r="C5" s="6" t="inlineStr">
        <is>
          <t>azure-ai, azure-openai, semantic-kernel, agentic-ai, rag, ai-architecture, azure-ai-foundry, enterprise-ai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4.25"/>
  <cols>
    <col width="8" customWidth="1" min="1" max="1"/>
    <col width="34" customWidth="1" min="2" max="2"/>
    <col width="26" customWidth="1" min="3" max="4"/>
    <col width="58" customWidth="1" min="5" max="5"/>
    <col width="16" customWidth="1" min="6" max="6"/>
    <col width="12" customWidth="1" min="7" max="7"/>
    <col width="14" customWidth="1" min="8" max="8"/>
    <col width="26" customWidth="1" min="9" max="9"/>
  </cols>
  <sheetData>
    <row r="1">
      <c r="A1" s="10" t="inlineStr">
        <is>
          <t>Task #</t>
        </is>
      </c>
      <c r="B1" s="10" t="inlineStr">
        <is>
          <t>Task</t>
        </is>
      </c>
      <c r="C1" s="10" t="inlineStr">
        <is>
          <t>Output</t>
        </is>
      </c>
      <c r="D1" s="10" t="inlineStr">
        <is>
          <t>Resource</t>
        </is>
      </c>
      <c r="E1" s="10" t="inlineStr">
        <is>
          <t>Actual URL</t>
        </is>
      </c>
      <c r="F1" s="10" t="inlineStr">
        <is>
          <t>Status</t>
        </is>
      </c>
      <c r="G1" s="10" t="inlineStr">
        <is>
          <t>Owner</t>
        </is>
      </c>
      <c r="H1" s="10" t="inlineStr">
        <is>
          <t>Done Date</t>
        </is>
      </c>
      <c r="I1" s="10" t="inlineStr">
        <is>
          <t>Notes</t>
        </is>
      </c>
    </row>
    <row r="2" ht="28.5" customHeight="1">
      <c r="A2" s="6" t="n">
        <v>1</v>
      </c>
      <c r="B2" s="6" t="inlineStr">
        <is>
          <t>Read AB-100 certification page and study guide fully</t>
        </is>
      </c>
      <c r="C2" s="6" t="inlineStr">
        <is>
          <t>Annotated notes on exam scope</t>
        </is>
      </c>
      <c r="D2" s="6" t="inlineStr">
        <is>
          <t>AB-100 study guide</t>
        </is>
      </c>
      <c r="E2" s="7" t="inlineStr">
        <is>
          <t>https://learn.microsoft.com/en-us/credentials/certifications/resources/study-guides/ab-100</t>
        </is>
      </c>
      <c r="F2" s="6" t="inlineStr">
        <is>
          <t>Not Started</t>
        </is>
      </c>
      <c r="G2" s="6" t="inlineStr">
        <is>
          <t>Upendra</t>
        </is>
      </c>
      <c r="H2" s="6" t="n"/>
      <c r="I2" s="6" t="n"/>
    </row>
    <row r="3" ht="28.5" customHeight="1">
      <c r="A3" s="6" t="n">
        <v>2</v>
      </c>
      <c r="B3" s="6" t="inlineStr">
        <is>
          <t>Set confidence scores in AB-100 Domain Map</t>
        </is>
      </c>
      <c r="C3" s="6" t="inlineStr">
        <is>
          <t>Confidence-filled domain map</t>
        </is>
      </c>
      <c r="D3" s="6" t="inlineStr">
        <is>
          <t>AB-100 Domain Map sheet</t>
        </is>
      </c>
      <c r="E3" s="6" t="n"/>
      <c r="F3" s="6" t="inlineStr">
        <is>
          <t>Not Started</t>
        </is>
      </c>
      <c r="G3" s="6" t="inlineStr">
        <is>
          <t>Upendra</t>
        </is>
      </c>
      <c r="H3" s="6" t="n"/>
      <c r="I3" s="6" t="n"/>
    </row>
    <row r="4">
      <c r="A4" s="6" t="n">
        <v>3</v>
      </c>
      <c r="B4" s="6" t="inlineStr">
        <is>
          <t>Create one business case in ROI sheet</t>
        </is>
      </c>
      <c r="C4" s="6" t="inlineStr">
        <is>
          <t>One completed use-case row</t>
        </is>
      </c>
      <c r="D4" s="6" t="inlineStr">
        <is>
          <t>Business Case &amp; ROI sheet</t>
        </is>
      </c>
      <c r="E4" s="6" t="n"/>
      <c r="F4" s="6" t="inlineStr">
        <is>
          <t>Not Started</t>
        </is>
      </c>
      <c r="G4" s="6" t="inlineStr">
        <is>
          <t>Upendra</t>
        </is>
      </c>
      <c r="H4" s="6" t="n"/>
      <c r="I4" s="6" t="n"/>
    </row>
    <row r="5" ht="28.5" customHeight="1">
      <c r="A5" s="6" t="n">
        <v>4</v>
      </c>
      <c r="B5" s="6" t="inlineStr">
        <is>
          <t>Create GitHub repo: azure-agentic-ai-architect-labs</t>
        </is>
      </c>
      <c r="C5" s="6" t="inlineStr">
        <is>
          <t>Live repo with folders</t>
        </is>
      </c>
      <c r="D5" s="6" t="inlineStr">
        <is>
          <t>Repo Setup sheet</t>
        </is>
      </c>
      <c r="E5" s="6" t="n"/>
      <c r="F5" s="6" t="inlineStr">
        <is>
          <t>Not Started</t>
        </is>
      </c>
      <c r="G5" s="6" t="inlineStr">
        <is>
          <t>Upendra</t>
        </is>
      </c>
      <c r="H5" s="6" t="n"/>
      <c r="I5" s="6" t="n"/>
    </row>
    <row r="6" ht="28.5" customHeight="1">
      <c r="A6" s="6" t="n">
        <v>5</v>
      </c>
      <c r="B6" s="6" t="inlineStr">
        <is>
          <t>Provision or validate Azure OpenAI / Foundry access</t>
        </is>
      </c>
      <c r="C6" s="6" t="inlineStr">
        <is>
          <t>Working environment</t>
        </is>
      </c>
      <c r="D6" s="6" t="inlineStr">
        <is>
          <t>Microsoft Foundry docs</t>
        </is>
      </c>
      <c r="E6" s="7" t="inlineStr">
        <is>
          <t>https://learn.microsoft.com/en-us/azure/foundry/</t>
        </is>
      </c>
      <c r="F6" s="6" t="inlineStr">
        <is>
          <t>Not Started</t>
        </is>
      </c>
      <c r="G6" s="6" t="inlineStr">
        <is>
          <t>Upendra</t>
        </is>
      </c>
      <c r="H6" s="6" t="n"/>
      <c r="I6" s="6" t="n"/>
    </row>
    <row r="7" ht="28.5" customHeight="1">
      <c r="A7" s="6" t="n">
        <v>6</v>
      </c>
      <c r="B7" s="6" t="inlineStr">
        <is>
          <t>Watch Level Up course intro + first modules</t>
        </is>
      </c>
      <c r="C7" s="6" t="inlineStr">
        <is>
          <t>Video notes</t>
        </is>
      </c>
      <c r="D7" s="6" t="inlineStr">
        <is>
          <t>Level Up course</t>
        </is>
      </c>
      <c r="E7" s="7" t="inlineStr">
        <is>
          <t>https://learn.mslevelup.com/learner_course/show/1945694</t>
        </is>
      </c>
      <c r="F7" s="6" t="inlineStr">
        <is>
          <t>Not Started</t>
        </is>
      </c>
      <c r="G7" s="6" t="inlineStr">
        <is>
          <t>Upendra</t>
        </is>
      </c>
      <c r="H7" s="6" t="n"/>
      <c r="I7" s="6" t="n"/>
    </row>
    <row r="8" ht="42.75" customHeight="1">
      <c r="A8" s="6" t="n">
        <v>7</v>
      </c>
      <c r="B8" s="6" t="inlineStr">
        <is>
          <t>Review Copilot Studio overview</t>
        </is>
      </c>
      <c r="C8" s="6" t="inlineStr">
        <is>
          <t>1-page summary: when to use Copilot Studio vs custom Azure AI</t>
        </is>
      </c>
      <c r="D8" s="6" t="inlineStr">
        <is>
          <t>Copilot Studio docs</t>
        </is>
      </c>
      <c r="E8" s="7" t="inlineStr">
        <is>
          <t>https://learn.microsoft.com/en-us/microsoft-copilot-studio/</t>
        </is>
      </c>
      <c r="F8" s="6" t="inlineStr">
        <is>
          <t>Not Started</t>
        </is>
      </c>
      <c r="G8" s="6" t="inlineStr">
        <is>
          <t>Upendra</t>
        </is>
      </c>
      <c r="H8" s="6" t="n"/>
      <c r="I8" s="6" t="n"/>
    </row>
  </sheetData>
  <dataValidations count="1">
    <dataValidation sqref="F2:F100" showDropDown="0" showInputMessage="0" showErrorMessage="0" allowBlank="1" type="list">
      <formula1>"Not Started,In Progress,Completed,Blocked"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4.25"/>
  <cols>
    <col width="28" customWidth="1" min="1" max="1"/>
    <col width="30" customWidth="1" min="2" max="2"/>
    <col width="50" customWidth="1" min="3" max="3"/>
  </cols>
  <sheetData>
    <row r="1">
      <c r="A1" s="10" t="inlineStr">
        <is>
          <t>Decision</t>
        </is>
      </c>
      <c r="B1" s="10" t="inlineStr">
        <is>
          <t>Recommended Answer</t>
        </is>
      </c>
      <c r="C1" s="10" t="inlineStr">
        <is>
          <t>Reason</t>
        </is>
      </c>
    </row>
    <row r="2" ht="28.5" customHeight="1">
      <c r="A2" s="6" t="inlineStr">
        <is>
          <t>Main GitHub repo name</t>
        </is>
      </c>
      <c r="B2" s="6" t="inlineStr">
        <is>
          <t>azure-agentic-ai-architect-labs</t>
        </is>
      </c>
      <c r="C2" s="6" t="inlineStr">
        <is>
          <t>Best balance of clarity, Azure relevance, and architect-level signaling</t>
        </is>
      </c>
    </row>
    <row r="3">
      <c r="A3" s="6" t="inlineStr">
        <is>
          <t>Secondary repo needed?</t>
        </is>
      </c>
      <c r="B3" s="6" t="inlineStr">
        <is>
          <t>No, not now</t>
        </is>
      </c>
      <c r="C3" s="6" t="inlineStr">
        <is>
          <t>One strong repo is better than many half-built repos</t>
        </is>
      </c>
    </row>
    <row r="4" ht="28.5" customHeight="1">
      <c r="A4" s="6" t="inlineStr">
        <is>
          <t>Main exam prep focus</t>
        </is>
      </c>
      <c r="B4" s="6" t="inlineStr">
        <is>
          <t>AB-100 domain coverage + business-solution architecture</t>
        </is>
      </c>
      <c r="C4" s="6" t="inlineStr">
        <is>
          <t>This is the real gap to close</t>
        </is>
      </c>
    </row>
    <row r="5" ht="28.5" customHeight="1">
      <c r="A5" s="6" t="inlineStr">
        <is>
          <t>Main practical focus</t>
        </is>
      </c>
      <c r="B5" s="6" t="inlineStr">
        <is>
          <t>Agentic AI capstone with business case + ALM + security</t>
        </is>
      </c>
      <c r="C5" s="6" t="inlineStr">
        <is>
          <t>This gives both exam and career value</t>
        </is>
      </c>
    </row>
    <row r="6" ht="28.5" customHeight="1">
      <c r="A6" s="6" t="inlineStr">
        <is>
          <t>Should you over-index on Applied Skills?</t>
        </is>
      </c>
      <c r="B6" s="6" t="inlineStr">
        <is>
          <t>No</t>
        </is>
      </c>
      <c r="C6" s="6" t="inlineStr">
        <is>
          <t>Useful practical lab, but not a proxy for the full AB-100</t>
        </is>
      </c>
    </row>
    <row r="7">
      <c r="A7" s="6" t="inlineStr">
        <is>
          <t>Should you study Copilot Studio?</t>
        </is>
      </c>
      <c r="B7" s="6" t="inlineStr">
        <is>
          <t>Yes</t>
        </is>
      </c>
      <c r="C7" s="6" t="inlineStr">
        <is>
          <t>Current AB-100 role profile expects it</t>
        </is>
      </c>
    </row>
    <row r="8">
      <c r="A8" s="6" t="inlineStr">
        <is>
          <t>Should you include MCP and A2A?</t>
        </is>
      </c>
      <c r="B8" s="6" t="inlineStr">
        <is>
          <t>Yes</t>
        </is>
      </c>
      <c r="C8" s="6" t="inlineStr">
        <is>
          <t>They matter for modern agent interoperability discussions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4.25"/>
  <cols>
    <col width="120" customWidth="1" min="1" max="1"/>
  </cols>
  <sheetData>
    <row r="1" ht="18" customHeight="1">
      <c r="A1" s="12" t="inlineStr">
        <is>
          <t>Workbook Audit Corrections Applied</t>
        </is>
      </c>
    </row>
    <row r="3">
      <c r="A3" s="6" t="inlineStr">
        <is>
          <t>1. Restored AB-100 Domain Map.</t>
        </is>
      </c>
    </row>
    <row r="4">
      <c r="A4" s="6" t="inlineStr">
        <is>
          <t>2. Restored Business Apps Coverage.</t>
        </is>
      </c>
    </row>
    <row r="5">
      <c r="A5" s="6" t="inlineStr">
        <is>
          <t>3. Restored Business Case &amp; ROI.</t>
        </is>
      </c>
    </row>
    <row r="6">
      <c r="A6" s="6" t="inlineStr">
        <is>
          <t>4. Restored Start Here, Week 1 Action Plan, and Decision Matrix.</t>
        </is>
      </c>
    </row>
    <row r="7">
      <c r="A7" s="6" t="inlineStr">
        <is>
          <t>5. Fixed Exam Readiness logic to use Dashboard metrics instead of broken Project Tracker references.</t>
        </is>
      </c>
    </row>
    <row r="8">
      <c r="A8" s="6" t="inlineStr">
        <is>
          <t>6. Kept Dashboard and Execution Board so the workbook still works as an execution system.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4.25"/>
  <cols>
    <col width="80" customWidth="1" min="1" max="1"/>
  </cols>
  <sheetData>
    <row r="1" ht="21" customHeight="1">
      <c r="A1" s="17" t="inlineStr">
        <is>
          <t>Enterprise RAG Knowledge Assistant</t>
        </is>
      </c>
    </row>
    <row r="2">
      <c r="A2" s="18" t="inlineStr">
        <is>
          <t>Interview Architecture Diagram</t>
        </is>
      </c>
    </row>
    <row r="4">
      <c r="A4" s="16" t="inlineStr">
        <is>
          <t>How to present this in interview</t>
        </is>
      </c>
    </row>
    <row r="5">
      <c r="A5" s="19" t="inlineStr">
        <is>
          <t>• Use this to explain enterprise grounding, AI Search, and secure document access.</t>
        </is>
      </c>
    </row>
    <row r="6">
      <c r="A6" s="19" t="inlineStr">
        <is>
          <t>• Show how the agent uses Azure OpenAI + Azure AI Search + enterprise docs.</t>
        </is>
      </c>
    </row>
    <row r="7">
      <c r="A7" s="19" t="inlineStr">
        <is>
          <t>• Talk through identity, policy, and data access control.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4.25"/>
  <cols>
    <col width="80" customWidth="1" min="1" max="1"/>
  </cols>
  <sheetData>
    <row r="1" ht="21" customHeight="1">
      <c r="A1" s="17" t="inlineStr">
        <is>
          <t>Multi-Agent Workflow System</t>
        </is>
      </c>
    </row>
    <row r="2">
      <c r="A2" s="18" t="inlineStr">
        <is>
          <t>Interview Architecture Diagram</t>
        </is>
      </c>
    </row>
    <row r="4">
      <c r="A4" s="16" t="inlineStr">
        <is>
          <t>How to present this in interview</t>
        </is>
      </c>
    </row>
    <row r="5">
      <c r="A5" s="19" t="inlineStr">
        <is>
          <t>• Use this to explain coordination vs worker agents.</t>
        </is>
      </c>
    </row>
    <row r="6">
      <c r="A6" s="19" t="inlineStr">
        <is>
          <t>• Show clear division of responsibilities between agents and tools.</t>
        </is>
      </c>
    </row>
    <row r="7">
      <c r="A7" s="19" t="inlineStr">
        <is>
          <t>• Explain when multi-agent is justified and when it is overkill.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4.25"/>
  <cols>
    <col width="80" customWidth="1" min="1" max="1"/>
  </cols>
  <sheetData>
    <row r="1" ht="21" customHeight="1">
      <c r="A1" s="17" t="inlineStr">
        <is>
          <t>AI Agent with Enterprise API Integration</t>
        </is>
      </c>
    </row>
    <row r="2">
      <c r="A2" s="18" t="inlineStr">
        <is>
          <t>Interview Architecture Diagram</t>
        </is>
      </c>
    </row>
    <row r="4">
      <c r="A4" s="16" t="inlineStr">
        <is>
          <t>How to present this in interview</t>
        </is>
      </c>
    </row>
    <row r="5">
      <c r="A5" s="19" t="inlineStr">
        <is>
          <t>• Use this to explain function calling and enterprise workflow automation.</t>
        </is>
      </c>
    </row>
    <row r="6">
      <c r="A6" s="19" t="inlineStr">
        <is>
          <t>• Show API Management / middleware / audit path.</t>
        </is>
      </c>
    </row>
    <row r="7">
      <c r="A7" s="19" t="inlineStr">
        <is>
          <t>• Good interview story for operational business impact.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4.25"/>
  <cols>
    <col width="80" customWidth="1" min="1" max="1"/>
  </cols>
  <sheetData>
    <row r="1" ht="21" customHeight="1">
      <c r="A1" s="17" t="inlineStr">
        <is>
          <t>Secure Enterprise AI Architecture</t>
        </is>
      </c>
    </row>
    <row r="2">
      <c r="A2" s="18" t="inlineStr">
        <is>
          <t>Interview Architecture Diagram</t>
        </is>
      </c>
    </row>
    <row r="4">
      <c r="A4" s="16" t="inlineStr">
        <is>
          <t>How to present this in interview</t>
        </is>
      </c>
    </row>
    <row r="5">
      <c r="A5" s="19" t="inlineStr">
        <is>
          <t>• Use this to explain private networking, identity, secrets, and monitoring.</t>
        </is>
      </c>
    </row>
    <row r="6">
      <c r="A6" s="19" t="inlineStr">
        <is>
          <t>• Show why secure design matters for regulated workloads.</t>
        </is>
      </c>
    </row>
    <row r="7">
      <c r="A7" s="19" t="inlineStr">
        <is>
          <t>• Good for architecture and governance interviews.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4.25"/>
  <cols>
    <col width="80" customWidth="1" min="1" max="1"/>
  </cols>
  <sheetData>
    <row r="1" ht="21" customHeight="1">
      <c r="A1" s="17" t="inlineStr">
        <is>
          <t>Full Enterprise Agentic AI Platform (Capstone)</t>
        </is>
      </c>
    </row>
    <row r="2">
      <c r="A2" s="18" t="inlineStr">
        <is>
          <t>Interview Architecture Diagram</t>
        </is>
      </c>
    </row>
    <row r="4">
      <c r="A4" s="16" t="inlineStr">
        <is>
          <t>How to present this in interview</t>
        </is>
      </c>
    </row>
    <row r="5">
      <c r="A5" s="19" t="inlineStr">
        <is>
          <t>• Use this as your end-to-end reference architecture.</t>
        </is>
      </c>
    </row>
    <row r="6">
      <c r="A6" s="19" t="inlineStr">
        <is>
          <t>• It combines RAG, agents, business-app integration, security, and observability.</t>
        </is>
      </c>
    </row>
    <row r="7">
      <c r="A7" s="19" t="inlineStr">
        <is>
          <t>• This is the strongest interview diagram in the workbook.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4.25"/>
  <cols>
    <col width="90" customWidth="1" min="1" max="1"/>
  </cols>
  <sheetData>
    <row r="1" ht="21" customHeight="1">
      <c r="A1" s="17" t="inlineStr">
        <is>
          <t>Microsoft Agentic AI Platform Reference</t>
        </is>
      </c>
    </row>
    <row r="3">
      <c r="A3" t="inlineStr">
        <is>
          <t>How to explain this architecture in interviews:</t>
        </is>
      </c>
    </row>
    <row r="4">
      <c r="A4" t="inlineStr">
        <is>
          <t>• Experience layer handles user interaction.</t>
        </is>
      </c>
    </row>
    <row r="5">
      <c r="A5" t="inlineStr">
        <is>
          <t>• Agent orchestration layer coordinates tasks.</t>
        </is>
      </c>
    </row>
    <row r="6">
      <c r="A6" t="inlineStr">
        <is>
          <t>• AI services provide reasoning and retrieval.</t>
        </is>
      </c>
    </row>
    <row r="7">
      <c r="A7" t="inlineStr">
        <is>
          <t>• Enterprise integration connects business systems.</t>
        </is>
      </c>
    </row>
    <row r="8">
      <c r="A8" t="inlineStr">
        <is>
          <t>• Governance layer ensures security and monitoring.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2026-03-07T04:21:35Z</dcterms:created>
  <dcterms:modified xsi:type="dcterms:W3CDTF">2026-03-07T14:00:23Z</dcterms:modified>
  <cp:lastModifiedBy>Upendra Kumar</cp:lastModifiedBy>
</cp:coreProperties>
</file>